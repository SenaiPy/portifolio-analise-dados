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alanguinho\Desktop\Portifólio\Excel\1 portifolio\"/>
    </mc:Choice>
  </mc:AlternateContent>
  <xr:revisionPtr revIDLastSave="0" documentId="13_ncr:1_{ED5E6F97-5408-4079-90A3-5C3E698D4797}" xr6:coauthVersionLast="47" xr6:coauthVersionMax="47" xr10:uidLastSave="{00000000-0000-0000-0000-000000000000}"/>
  <bookViews>
    <workbookView xWindow="20280" yWindow="-120" windowWidth="20730" windowHeight="11160" activeTab="1" xr2:uid="{C6E87BD6-FE14-4974-BC6A-7B7E1C7A212E}"/>
  </bookViews>
  <sheets>
    <sheet name="Base" sheetId="1" r:id="rId1"/>
    <sheet name="Tabelas_Dinamicas" sheetId="2" r:id="rId2"/>
    <sheet name="Dashboard_Faturamento" sheetId="3" r:id="rId3"/>
    <sheet name="Dashboard_Quantidade" sheetId="5" r:id="rId4"/>
  </sheets>
  <definedNames>
    <definedName name="_xlnm._FilterDatabase" localSheetId="0" hidden="1">Base!$A$1:$D$360</definedName>
    <definedName name="SegmentaçãodeDados_Produto">#N/A</definedName>
    <definedName name="SegmentaçãodeDados_Produto1">#N/A</definedName>
    <definedName name="SegmentaçãodeDados_Vendedor1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" i="5" l="1"/>
  <c r="K3" i="3"/>
  <c r="R3" i="5"/>
  <c r="R3" i="3"/>
  <c r="N3" i="5"/>
  <c r="N3" i="3"/>
</calcChain>
</file>

<file path=xl/sharedStrings.xml><?xml version="1.0" encoding="utf-8"?>
<sst xmlns="http://schemas.openxmlformats.org/spreadsheetml/2006/main" count="790" uniqueCount="41">
  <si>
    <t>Vendedor</t>
  </si>
  <si>
    <t>Data</t>
  </si>
  <si>
    <t>Produto</t>
  </si>
  <si>
    <t>Bruno</t>
  </si>
  <si>
    <t>Rafael</t>
  </si>
  <si>
    <t>Pedro</t>
  </si>
  <si>
    <t>Luiza</t>
  </si>
  <si>
    <t>Clara</t>
  </si>
  <si>
    <t>Sabrina</t>
  </si>
  <si>
    <t>Valor Total</t>
  </si>
  <si>
    <t>Teclado</t>
  </si>
  <si>
    <t>Monitor</t>
  </si>
  <si>
    <t>Notebook Pro</t>
  </si>
  <si>
    <t>Notebook Gamer</t>
  </si>
  <si>
    <t>Notebook Mega</t>
  </si>
  <si>
    <t>Bateria Mega</t>
  </si>
  <si>
    <t>Jan</t>
  </si>
  <si>
    <t>Feb</t>
  </si>
  <si>
    <t>Mar</t>
  </si>
  <si>
    <t>Apr</t>
  </si>
  <si>
    <t>May</t>
  </si>
  <si>
    <t>Jun</t>
  </si>
  <si>
    <t>Jul</t>
  </si>
  <si>
    <t>Faturamento x Vendedor</t>
  </si>
  <si>
    <t>Faturamento x Produto</t>
  </si>
  <si>
    <t>Faturamento Mensal</t>
  </si>
  <si>
    <t>Faturamento</t>
  </si>
  <si>
    <t>Faturamento Total</t>
  </si>
  <si>
    <t>Produto Mais Vendido</t>
  </si>
  <si>
    <t>Melhor Vendedor</t>
  </si>
  <si>
    <t>VENDEDORES</t>
  </si>
  <si>
    <t>PRODUTOS</t>
  </si>
  <si>
    <t>Cópia Faturamento</t>
  </si>
  <si>
    <t>Cópia Contagem de Produto</t>
  </si>
  <si>
    <t xml:space="preserve">Qtd Total de Vendas </t>
  </si>
  <si>
    <t>Mês</t>
  </si>
  <si>
    <t>Qtd Vendas</t>
  </si>
  <si>
    <t>Qtd Produtos</t>
  </si>
  <si>
    <t>Qtd Vendas x Vendedor</t>
  </si>
  <si>
    <t>Qtd Vendas x Produto</t>
  </si>
  <si>
    <t>Qtd Vendas x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</si>
</sst>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R$&quot;\ #,##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 tint="-0.249977111117893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 wrapText="1"/>
    </xf>
    <xf numFmtId="0" fontId="0" fillId="0" borderId="0" xfId="0" pivotButton="1"/>
    <xf numFmtId="164" fontId="0" fillId="0" borderId="0" xfId="0" applyNumberFormat="1"/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center" vertical="center"/>
    </xf>
    <xf numFmtId="0" fontId="3" fillId="4" borderId="0" xfId="0" applyFont="1" applyFill="1"/>
    <xf numFmtId="0" fontId="2" fillId="4" borderId="0" xfId="0" applyFont="1" applyFill="1" applyAlignment="1">
      <alignment horizontal="left" vertical="center"/>
    </xf>
    <xf numFmtId="0" fontId="2" fillId="4" borderId="0" xfId="0" applyFont="1" applyFill="1"/>
    <xf numFmtId="164" fontId="2" fillId="4" borderId="0" xfId="0" applyNumberFormat="1" applyFont="1" applyFill="1" applyAlignment="1">
      <alignment horizontal="left" vertical="center"/>
    </xf>
    <xf numFmtId="0" fontId="1" fillId="4" borderId="0" xfId="0" applyFont="1" applyFill="1" applyAlignment="1">
      <alignment horizontal="center" vertical="center"/>
    </xf>
    <xf numFmtId="0" fontId="0" fillId="0" borderId="0" xfId="0" applyNumberFormat="1"/>
    <xf numFmtId="0" fontId="4" fillId="4" borderId="0" xfId="0" applyFont="1" applyFill="1"/>
  </cellXfs>
  <cellStyles count="1">
    <cellStyle name="Normal" xfId="0" builtinId="0"/>
  </cellStyles>
  <dxfs count="7">
    <dxf>
      <numFmt numFmtId="164" formatCode="&quot;R$&quot;\ #,##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left" vertical="bottom" textRotation="0" wrapText="1" indent="0" justifyLastLine="0" shrinkToFit="0" readingOrder="0"/>
    </dxf>
    <dxf>
      <fill>
        <patternFill>
          <bgColor rgb="FFF4B084"/>
        </patternFill>
      </fill>
    </dxf>
    <dxf>
      <font>
        <b/>
        <i val="0"/>
        <sz val="12"/>
        <color theme="0"/>
      </font>
      <fill>
        <patternFill>
          <bgColor rgb="FF305496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marcos" pivot="0" table="0" count="4" xr9:uid="{A5E1AA0D-C97E-49EE-B684-CF743A286286}">
      <tableStyleElement type="wholeTable" dxfId="6"/>
      <tableStyleElement type="headerRow" dxfId="5"/>
    </tableStyle>
  </tableStyles>
  <colors>
    <mruColors>
      <color rgb="FF4472C4"/>
      <color rgb="FFF4B084"/>
      <color rgb="FF305496"/>
      <color rgb="FFB2B2B2"/>
      <color rgb="FFDDDDDD"/>
      <color rgb="FF8FAADC"/>
    </mruColors>
  </colors>
  <extLst>
    <ext xmlns:x14="http://schemas.microsoft.com/office/spreadsheetml/2009/9/main" uri="{46F421CA-312F-682f-3DD2-61675219B42D}">
      <x14:dxfs count="2">
        <dxf>
          <fill>
            <patternFill>
              <bgColor rgb="FF8FAADC"/>
            </patternFill>
          </fill>
        </dxf>
        <dxf>
          <fill>
            <patternFill>
              <bgColor rgb="FF8FAADC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marcos">
          <x14:slicerStyleElements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[dashboard.xlsx]Tabelas_Dinamicas!Faturamento x Vendedor</c:name>
    <c:fmtId val="3"/>
  </c:pivotSource>
  <c:chart>
    <c:title>
      <c:tx>
        <c:strRef>
          <c:f>Tabelas_Dinamicas!$A$2</c:f>
          <c:strCache>
            <c:ptCount val="1"/>
            <c:pt idx="0">
              <c:v>Faturamento x Vendedor</c:v>
            </c:pt>
          </c:strCache>
        </c:strRef>
      </c:tx>
      <c:layout>
        <c:manualLayout>
          <c:xMode val="edge"/>
          <c:yMode val="edge"/>
          <c:x val="0.32813767806169586"/>
          <c:y val="1.61290322580645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lang="en-US" sz="105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Tabelas_Dinamicas!$A$2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1050" b="1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Tabelas_Dinamicas!$A$2</c:f>
              <c:strCache>
                <c:ptCount val="6"/>
                <c:pt idx="0">
                  <c:v>Bruno</c:v>
                </c:pt>
                <c:pt idx="1">
                  <c:v>Clara</c:v>
                </c:pt>
                <c:pt idx="2">
                  <c:v>Luiza</c:v>
                </c:pt>
                <c:pt idx="3">
                  <c:v>Pedro</c:v>
                </c:pt>
                <c:pt idx="4">
                  <c:v>Rafael</c:v>
                </c:pt>
                <c:pt idx="5">
                  <c:v>Sabrina</c:v>
                </c:pt>
              </c:strCache>
            </c:strRef>
          </c:cat>
          <c:val>
            <c:numRef>
              <c:f>Tabelas_Dinamicas!$A$2</c:f>
              <c:numCache>
                <c:formatCode>"R$"\ #,##0</c:formatCode>
                <c:ptCount val="6"/>
                <c:pt idx="0">
                  <c:v>257200</c:v>
                </c:pt>
                <c:pt idx="1">
                  <c:v>224000</c:v>
                </c:pt>
                <c:pt idx="2">
                  <c:v>208700</c:v>
                </c:pt>
                <c:pt idx="3">
                  <c:v>273800</c:v>
                </c:pt>
                <c:pt idx="4">
                  <c:v>180400</c:v>
                </c:pt>
                <c:pt idx="5">
                  <c:v>158300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AB-4255-843B-FA1B926FE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0511439"/>
        <c:axId val="1120514319"/>
      </c:barChart>
      <c:catAx>
        <c:axId val="1120511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0514319"/>
        <c:crosses val="autoZero"/>
        <c:auto val="1"/>
        <c:lblAlgn val="ctr"/>
        <c:lblOffset val="100"/>
        <c:noMultiLvlLbl val="0"/>
      </c:catAx>
      <c:valAx>
        <c:axId val="1120514319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1120511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[dashboard.xlsx]Tabelas_Dinamicas!Faturamento x Produto</c:name>
    <c:fmtId val="3"/>
  </c:pivotSource>
  <c:chart>
    <c:title>
      <c:tx>
        <c:strRef>
          <c:f>Tabelas_Dinamicas!$D$2</c:f>
          <c:strCache>
            <c:ptCount val="1"/>
            <c:pt idx="0">
              <c:v>Faturamento x Produto</c:v>
            </c:pt>
          </c:strCache>
        </c:strRef>
      </c:tx>
      <c:layout>
        <c:manualLayout>
          <c:xMode val="edge"/>
          <c:yMode val="edge"/>
          <c:x val="0.32138049907940619"/>
          <c:y val="1.07526881720430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lang="en-US" sz="105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Tabelas_Dinamicas!$D$2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1050" b="1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Tabelas_Dinamicas!$D$2</c:f>
              <c:strCache>
                <c:ptCount val="6"/>
                <c:pt idx="0">
                  <c:v>Teclado</c:v>
                </c:pt>
                <c:pt idx="1">
                  <c:v>Bateria Mega</c:v>
                </c:pt>
                <c:pt idx="2">
                  <c:v>Notebook Mega</c:v>
                </c:pt>
                <c:pt idx="3">
                  <c:v>Monitor</c:v>
                </c:pt>
                <c:pt idx="4">
                  <c:v>Notebook Pro</c:v>
                </c:pt>
                <c:pt idx="5">
                  <c:v>Notebook Gamer</c:v>
                </c:pt>
              </c:strCache>
            </c:strRef>
          </c:cat>
          <c:val>
            <c:numRef>
              <c:f>Tabelas_Dinamicas!$D$2</c:f>
              <c:numCache>
                <c:formatCode>"R$"\ #,##0</c:formatCode>
                <c:ptCount val="6"/>
                <c:pt idx="0">
                  <c:v>30600</c:v>
                </c:pt>
                <c:pt idx="1">
                  <c:v>70800</c:v>
                </c:pt>
                <c:pt idx="2">
                  <c:v>134400</c:v>
                </c:pt>
                <c:pt idx="3">
                  <c:v>136800</c:v>
                </c:pt>
                <c:pt idx="4">
                  <c:v>352000</c:v>
                </c:pt>
                <c:pt idx="5">
                  <c:v>577800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EE-48EC-9898-706FF04051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38975759"/>
        <c:axId val="1338980559"/>
      </c:barChart>
      <c:catAx>
        <c:axId val="1338975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8980559"/>
        <c:crosses val="autoZero"/>
        <c:auto val="1"/>
        <c:lblAlgn val="ctr"/>
        <c:lblOffset val="100"/>
        <c:noMultiLvlLbl val="0"/>
      </c:catAx>
      <c:valAx>
        <c:axId val="1338980559"/>
        <c:scaling>
          <c:orientation val="minMax"/>
        </c:scaling>
        <c:delete val="1"/>
        <c:axPos val="b"/>
        <c:numFmt formatCode="&quot;R$&quot;\ #,##0" sourceLinked="1"/>
        <c:majorTickMark val="none"/>
        <c:minorTickMark val="none"/>
        <c:tickLblPos val="nextTo"/>
        <c:crossAx val="1338975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[dashboard.xlsx]Tabelas_Dinamicas!Faturamento x Mes</c:name>
    <c:fmtId val="13"/>
  </c:pivotSource>
  <c:chart>
    <c:title>
      <c:tx>
        <c:strRef>
          <c:f>Tabelas_Dinamicas!$G$2</c:f>
          <c:strCache>
            <c:ptCount val="1"/>
            <c:pt idx="0">
              <c:v>Faturamento Mensal</c:v>
            </c:pt>
          </c:strCache>
        </c:strRef>
      </c:tx>
      <c:layout>
        <c:manualLayout>
          <c:xMode val="edge"/>
          <c:yMode val="edge"/>
          <c:x val="0.42232470269774919"/>
          <c:y val="9.356725146198830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bg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bg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9841838257236634E-2"/>
              <c:y val="-2.77777777777777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bg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1486123545210387E-2"/>
              <c:y val="-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bg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1486123545210387E-2"/>
              <c:y val="-1.388888888888893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bg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222918531781558E-2"/>
              <c:y val="-3.703703703703707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bg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5810205908683973E-2"/>
              <c:y val="-2.77777777777777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bg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5810205908684063E-2"/>
              <c:y val="-4.629629629629671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bg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2972247090420773E-2"/>
              <c:y val="-3.70370370370370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noFill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lang="en-US" sz="105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noFill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layout>
            <c:manualLayout>
              <c:x val="-3.2229185317815566E-2"/>
              <c:y val="-4.210526315789473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lang="en-US" sz="105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noFill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layout>
            <c:manualLayout>
              <c:x val="-3.5810205908683973E-2"/>
              <c:y val="-7.48538011695906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lang="en-US" sz="105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noFill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layout>
            <c:manualLayout>
              <c:x val="-3.5810205908684022E-2"/>
              <c:y val="-5.61403508771929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lang="en-US" sz="105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noFill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layout>
            <c:manualLayout>
              <c:x val="-3.5810205908684063E-2"/>
              <c:y val="-5.614035087719302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lang="en-US" sz="105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noFill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layout>
            <c:manualLayout>
              <c:x val="-3.2229185317815663E-2"/>
              <c:y val="-3.274853801169590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lang="en-US" sz="105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noFill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layout>
            <c:manualLayout>
              <c:x val="-2.8648164726947267E-2"/>
              <c:y val="-4.21052631578947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lang="en-US" sz="105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noFill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layout>
            <c:manualLayout>
              <c:x val="-4.1778573560131302E-2"/>
              <c:y val="-5.14619883040935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lang="en-US" sz="105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Tabelas_Dinamicas!$G$2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Tabelas_Dinamicas!$G$2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Tabelas_Dinamicas!$G$2</c:f>
              <c:numCache>
                <c:formatCode>"R$"\ #,##0</c:formatCode>
                <c:ptCount val="7"/>
                <c:pt idx="0">
                  <c:v>216400</c:v>
                </c:pt>
                <c:pt idx="1">
                  <c:v>198800</c:v>
                </c:pt>
                <c:pt idx="2">
                  <c:v>211300</c:v>
                </c:pt>
                <c:pt idx="3">
                  <c:v>179900</c:v>
                </c:pt>
                <c:pt idx="4">
                  <c:v>212700</c:v>
                </c:pt>
                <c:pt idx="5">
                  <c:v>164200</c:v>
                </c:pt>
                <c:pt idx="6">
                  <c:v>119100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FE-4FB0-999E-3299A0205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8930511"/>
        <c:axId val="1898907471"/>
      </c:areaChart>
      <c:lineChart>
        <c:grouping val="standard"/>
        <c:varyColors val="0"/>
        <c:ser>
          <c:idx val="1"/>
          <c:order val="1"/>
          <c:tx>
            <c:strRef>
              <c:f>Tabelas_Dinamicas!$G$2</c:f>
              <c:strCache>
                <c:ptCount val="1"/>
                <c:pt idx="0">
                  <c:v>Cópia Faturamento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2DFE-4FB0-999E-3299A020576A}"/>
              </c:ext>
            </c:extLst>
          </c:dPt>
          <c:dPt>
            <c:idx val="1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DFE-4FB0-999E-3299A020576A}"/>
              </c:ext>
            </c:extLst>
          </c:dPt>
          <c:dPt>
            <c:idx val="2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2DFE-4FB0-999E-3299A020576A}"/>
              </c:ext>
            </c:extLst>
          </c:dPt>
          <c:dPt>
            <c:idx val="3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2DFE-4FB0-999E-3299A020576A}"/>
              </c:ext>
            </c:extLst>
          </c:dPt>
          <c:dPt>
            <c:idx val="4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2DFE-4FB0-999E-3299A020576A}"/>
              </c:ext>
            </c:extLst>
          </c:dPt>
          <c:dPt>
            <c:idx val="5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2DFE-4FB0-999E-3299A020576A}"/>
              </c:ext>
            </c:extLst>
          </c:dPt>
          <c:dPt>
            <c:idx val="6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2DFE-4FB0-999E-3299A020576A}"/>
              </c:ext>
            </c:extLst>
          </c:dPt>
          <c:dLbls>
            <c:dLbl>
              <c:idx val="0"/>
              <c:layout>
                <c:manualLayout>
                  <c:x val="-3.2229185317815566E-2"/>
                  <c:y val="-4.21052631578947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DFE-4FB0-999E-3299A020576A}"/>
                </c:ext>
              </c:extLst>
            </c:dLbl>
            <c:dLbl>
              <c:idx val="1"/>
              <c:layout>
                <c:manualLayout>
                  <c:x val="-3.5810205908683973E-2"/>
                  <c:y val="-7.48538011695906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FE-4FB0-999E-3299A020576A}"/>
                </c:ext>
              </c:extLst>
            </c:dLbl>
            <c:dLbl>
              <c:idx val="2"/>
              <c:layout>
                <c:manualLayout>
                  <c:x val="-3.5810205908684022E-2"/>
                  <c:y val="-5.61403508771929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DFE-4FB0-999E-3299A020576A}"/>
                </c:ext>
              </c:extLst>
            </c:dLbl>
            <c:dLbl>
              <c:idx val="3"/>
              <c:layout>
                <c:manualLayout>
                  <c:x val="-3.5810205908684063E-2"/>
                  <c:y val="-5.61403508771930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DFE-4FB0-999E-3299A020576A}"/>
                </c:ext>
              </c:extLst>
            </c:dLbl>
            <c:dLbl>
              <c:idx val="4"/>
              <c:layout>
                <c:manualLayout>
                  <c:x val="-3.2229185317815663E-2"/>
                  <c:y val="-3.27485380116959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DFE-4FB0-999E-3299A020576A}"/>
                </c:ext>
              </c:extLst>
            </c:dLbl>
            <c:dLbl>
              <c:idx val="5"/>
              <c:layout>
                <c:manualLayout>
                  <c:x val="-2.8648164726947267E-2"/>
                  <c:y val="-4.21052631578947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DFE-4FB0-999E-3299A020576A}"/>
                </c:ext>
              </c:extLst>
            </c:dLbl>
            <c:dLbl>
              <c:idx val="6"/>
              <c:layout>
                <c:manualLayout>
                  <c:x val="-4.1778573560131302E-2"/>
                  <c:y val="-5.1461988304093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DFE-4FB0-999E-3299A02057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1050" b="1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Tabelas_Dinamicas!$G$2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Tabelas_Dinamicas!$G$2</c:f>
              <c:numCache>
                <c:formatCode>"R$"\ #,##0</c:formatCode>
                <c:ptCount val="7"/>
                <c:pt idx="0">
                  <c:v>216400</c:v>
                </c:pt>
                <c:pt idx="1">
                  <c:v>198800</c:v>
                </c:pt>
                <c:pt idx="2">
                  <c:v>211300</c:v>
                </c:pt>
                <c:pt idx="3">
                  <c:v>179900</c:v>
                </c:pt>
                <c:pt idx="4">
                  <c:v>212700</c:v>
                </c:pt>
                <c:pt idx="5">
                  <c:v>164200</c:v>
                </c:pt>
                <c:pt idx="6">
                  <c:v>119100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FE-4FB0-999E-3299A0205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8930511"/>
        <c:axId val="1898907471"/>
      </c:lineChart>
      <c:catAx>
        <c:axId val="18989305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8907471"/>
        <c:crosses val="autoZero"/>
        <c:auto val="1"/>
        <c:lblAlgn val="ctr"/>
        <c:lblOffset val="100"/>
        <c:noMultiLvlLbl val="0"/>
      </c:catAx>
      <c:valAx>
        <c:axId val="189890747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1898930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[dashboard.xlsx]Tabelas_Dinamicas!Qty Vendas x Mes</c:name>
    <c:fmtId val="3"/>
  </c:pivotSource>
  <c:chart>
    <c:title>
      <c:tx>
        <c:strRef>
          <c:f>Tabelas_Dinamicas!$G$14</c:f>
          <c:strCache>
            <c:ptCount val="1"/>
            <c:pt idx="0">
              <c:v>Qtd Vendas x Mês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5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noFill/>
            <a:round/>
          </a:ln>
          <a:effectLst/>
        </c:spPr>
        <c:marker>
          <c:symbol val="none"/>
        </c:marker>
        <c:dLbl>
          <c:idx val="0"/>
          <c:layout>
            <c:manualLayout>
              <c:x val="-1.6711427853344719E-2"/>
              <c:y val="-5.14619883040935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5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noFill/>
            <a:round/>
          </a:ln>
          <a:effectLst/>
        </c:spPr>
        <c:marker>
          <c:symbol val="none"/>
        </c:marker>
        <c:dLbl>
          <c:idx val="0"/>
          <c:layout>
            <c:manualLayout>
              <c:x val="-1.4324081017152617E-2"/>
              <c:y val="-4.210526315789473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5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noFill/>
            <a:round/>
          </a:ln>
          <a:effectLst/>
        </c:spPr>
        <c:marker>
          <c:symbol val="none"/>
        </c:marker>
        <c:dLbl>
          <c:idx val="0"/>
          <c:layout>
            <c:manualLayout>
              <c:x val="-1.7905101271440772E-2"/>
              <c:y val="-4.210526315789473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5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noFill/>
            <a:round/>
          </a:ln>
          <a:effectLst/>
        </c:spPr>
        <c:marker>
          <c:symbol val="none"/>
        </c:marker>
        <c:dLbl>
          <c:idx val="0"/>
          <c:layout>
            <c:manualLayout>
              <c:x val="-1.3130407599056653E-2"/>
              <c:y val="-5.614035087719302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5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noFill/>
            <a:round/>
          </a:ln>
          <a:effectLst/>
        </c:spPr>
        <c:marker>
          <c:symbol val="none"/>
        </c:marker>
        <c:dLbl>
          <c:idx val="0"/>
          <c:layout>
            <c:manualLayout>
              <c:x val="-1.1936734180960515E-2"/>
              <c:y val="-4.67836257309941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5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noFill/>
            <a:round/>
          </a:ln>
          <a:effectLst/>
        </c:spPr>
        <c:marker>
          <c:symbol val="none"/>
        </c:marker>
        <c:dLbl>
          <c:idx val="0"/>
          <c:layout>
            <c:manualLayout>
              <c:x val="-1.5517754435248844E-2"/>
              <c:y val="-3.742690058479532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5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noFill/>
            <a:round/>
          </a:ln>
          <a:effectLst/>
        </c:spPr>
        <c:marker>
          <c:symbol val="none"/>
        </c:marker>
        <c:dLbl>
          <c:idx val="0"/>
          <c:layout>
            <c:manualLayout>
              <c:x val="-1.4324081017152617E-2"/>
              <c:y val="-5.61403508771929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5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Tabelas_Dinamicas!$G$14</c:f>
              <c:strCache>
                <c:ptCount val="1"/>
                <c:pt idx="0">
                  <c:v>Qtd Vendas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Tabelas_Dinamicas!$G$14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Tabelas_Dinamicas!$G$14</c:f>
              <c:numCache>
                <c:formatCode>General</c:formatCode>
                <c:ptCount val="7"/>
                <c:pt idx="0">
                  <c:v>52</c:v>
                </c:pt>
                <c:pt idx="1">
                  <c:v>51</c:v>
                </c:pt>
                <c:pt idx="2">
                  <c:v>63</c:v>
                </c:pt>
                <c:pt idx="3">
                  <c:v>53</c:v>
                </c:pt>
                <c:pt idx="4">
                  <c:v>60</c:v>
                </c:pt>
                <c:pt idx="5">
                  <c:v>54</c:v>
                </c:pt>
                <c:pt idx="6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9B-4603-B612-DA9F73B16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3511664"/>
        <c:axId val="1213500624"/>
      </c:areaChart>
      <c:lineChart>
        <c:grouping val="standard"/>
        <c:varyColors val="0"/>
        <c:ser>
          <c:idx val="1"/>
          <c:order val="1"/>
          <c:tx>
            <c:strRef>
              <c:f>Tabelas_Dinamicas!$G$14</c:f>
              <c:strCache>
                <c:ptCount val="1"/>
                <c:pt idx="0">
                  <c:v>Cópia Contagem de Produto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209B-4603-B612-DA9F73B16B0A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09B-4603-B612-DA9F73B16B0A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209B-4603-B612-DA9F73B16B0A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209B-4603-B612-DA9F73B16B0A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209B-4603-B612-DA9F73B16B0A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209B-4603-B612-DA9F73B16B0A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209B-4603-B612-DA9F73B16B0A}"/>
              </c:ext>
            </c:extLst>
          </c:dPt>
          <c:dLbls>
            <c:dLbl>
              <c:idx val="0"/>
              <c:layout>
                <c:manualLayout>
                  <c:x val="-1.7905101271440772E-2"/>
                  <c:y val="-4.21052631578947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09B-4603-B612-DA9F73B16B0A}"/>
                </c:ext>
              </c:extLst>
            </c:dLbl>
            <c:dLbl>
              <c:idx val="1"/>
              <c:layout>
                <c:manualLayout>
                  <c:x val="-1.4324081017152617E-2"/>
                  <c:y val="-4.21052631578947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9B-4603-B612-DA9F73B16B0A}"/>
                </c:ext>
              </c:extLst>
            </c:dLbl>
            <c:dLbl>
              <c:idx val="2"/>
              <c:layout>
                <c:manualLayout>
                  <c:x val="-1.6711427853344719E-2"/>
                  <c:y val="-5.1461988304093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09B-4603-B612-DA9F73B16B0A}"/>
                </c:ext>
              </c:extLst>
            </c:dLbl>
            <c:dLbl>
              <c:idx val="3"/>
              <c:layout>
                <c:manualLayout>
                  <c:x val="-1.3130407599056653E-2"/>
                  <c:y val="-5.61403508771930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09B-4603-B612-DA9F73B16B0A}"/>
                </c:ext>
              </c:extLst>
            </c:dLbl>
            <c:dLbl>
              <c:idx val="4"/>
              <c:layout>
                <c:manualLayout>
                  <c:x val="-1.1936734180960515E-2"/>
                  <c:y val="-4.67836257309941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09B-4603-B612-DA9F73B16B0A}"/>
                </c:ext>
              </c:extLst>
            </c:dLbl>
            <c:dLbl>
              <c:idx val="5"/>
              <c:layout>
                <c:manualLayout>
                  <c:x val="-1.5517754435248844E-2"/>
                  <c:y val="-3.74269005847953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09B-4603-B612-DA9F73B16B0A}"/>
                </c:ext>
              </c:extLst>
            </c:dLbl>
            <c:dLbl>
              <c:idx val="6"/>
              <c:layout>
                <c:manualLayout>
                  <c:x val="-1.4324081017152617E-2"/>
                  <c:y val="-5.61403508771929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09B-4603-B612-DA9F73B16B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Tabelas_Dinamicas!$G$14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Tabelas_Dinamicas!$G$14</c:f>
              <c:numCache>
                <c:formatCode>General</c:formatCode>
                <c:ptCount val="7"/>
                <c:pt idx="0">
                  <c:v>52</c:v>
                </c:pt>
                <c:pt idx="1">
                  <c:v>51</c:v>
                </c:pt>
                <c:pt idx="2">
                  <c:v>63</c:v>
                </c:pt>
                <c:pt idx="3">
                  <c:v>53</c:v>
                </c:pt>
                <c:pt idx="4">
                  <c:v>60</c:v>
                </c:pt>
                <c:pt idx="5">
                  <c:v>54</c:v>
                </c:pt>
                <c:pt idx="6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9B-4603-B612-DA9F73B16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3511664"/>
        <c:axId val="1213500624"/>
      </c:lineChart>
      <c:catAx>
        <c:axId val="1213511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3500624"/>
        <c:crosses val="autoZero"/>
        <c:auto val="1"/>
        <c:lblAlgn val="ctr"/>
        <c:lblOffset val="100"/>
        <c:noMultiLvlLbl val="0"/>
      </c:catAx>
      <c:valAx>
        <c:axId val="12135006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13511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[dashboard.xlsx]Tabelas_Dinamicas!Qty Vendas x Vendedor</c:name>
    <c:fmtId val="3"/>
  </c:pivotSource>
  <c:chart>
    <c:title>
      <c:tx>
        <c:strRef>
          <c:f>Tabelas_Dinamicas!$A$14</c:f>
          <c:strCache>
            <c:ptCount val="1"/>
            <c:pt idx="0">
              <c:v>Qtd Vendas x Vendedor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Tabelas_Dinamicas!$A$14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Tabelas_Dinamicas!$A$14</c:f>
              <c:strCache>
                <c:ptCount val="6"/>
                <c:pt idx="0">
                  <c:v>Bruno</c:v>
                </c:pt>
                <c:pt idx="1">
                  <c:v>Clara</c:v>
                </c:pt>
                <c:pt idx="2">
                  <c:v>Luiza</c:v>
                </c:pt>
                <c:pt idx="3">
                  <c:v>Pedro</c:v>
                </c:pt>
                <c:pt idx="4">
                  <c:v>Rafael</c:v>
                </c:pt>
                <c:pt idx="5">
                  <c:v>Sabrina</c:v>
                </c:pt>
              </c:strCache>
            </c:strRef>
          </c:cat>
          <c:val>
            <c:numRef>
              <c:f>Tabelas_Dinamicas!$A$14</c:f>
              <c:numCache>
                <c:formatCode>General</c:formatCode>
                <c:ptCount val="6"/>
                <c:pt idx="0">
                  <c:v>73</c:v>
                </c:pt>
                <c:pt idx="1">
                  <c:v>66</c:v>
                </c:pt>
                <c:pt idx="2">
                  <c:v>61</c:v>
                </c:pt>
                <c:pt idx="3">
                  <c:v>59</c:v>
                </c:pt>
                <c:pt idx="4">
                  <c:v>59</c:v>
                </c:pt>
                <c:pt idx="5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B1-44DA-899E-F11045A1B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3491984"/>
        <c:axId val="1213467024"/>
      </c:barChart>
      <c:catAx>
        <c:axId val="121349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3467024"/>
        <c:crosses val="autoZero"/>
        <c:auto val="1"/>
        <c:lblAlgn val="ctr"/>
        <c:lblOffset val="100"/>
        <c:noMultiLvlLbl val="0"/>
      </c:catAx>
      <c:valAx>
        <c:axId val="12134670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13491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[dashboard.xlsx]Tabelas_Dinamicas!Qty Vendas x Produto</c:name>
    <c:fmtId val="3"/>
  </c:pivotSource>
  <c:chart>
    <c:title>
      <c:tx>
        <c:strRef>
          <c:f>Tabelas_Dinamicas!$D$14</c:f>
          <c:strCache>
            <c:ptCount val="1"/>
            <c:pt idx="0">
              <c:v>Qtd Vendas x Produto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5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Tabelas_Dinamicas!$D$14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Tabelas_Dinamicas!$D$14</c:f>
              <c:strCache>
                <c:ptCount val="6"/>
                <c:pt idx="0">
                  <c:v>Bateria Mega</c:v>
                </c:pt>
                <c:pt idx="1">
                  <c:v>Monitor</c:v>
                </c:pt>
                <c:pt idx="2">
                  <c:v>Notebook Gamer</c:v>
                </c:pt>
                <c:pt idx="3">
                  <c:v>Notebook Mega</c:v>
                </c:pt>
                <c:pt idx="4">
                  <c:v>Notebook Pro</c:v>
                </c:pt>
                <c:pt idx="5">
                  <c:v>Teclado</c:v>
                </c:pt>
              </c:strCache>
            </c:strRef>
          </c:cat>
          <c:val>
            <c:numRef>
              <c:f>Tabelas_Dinamicas!$D$14</c:f>
              <c:numCache>
                <c:formatCode>General</c:formatCode>
                <c:ptCount val="6"/>
                <c:pt idx="0">
                  <c:v>59</c:v>
                </c:pt>
                <c:pt idx="1">
                  <c:v>56</c:v>
                </c:pt>
                <c:pt idx="2">
                  <c:v>107</c:v>
                </c:pt>
                <c:pt idx="3">
                  <c:v>42</c:v>
                </c:pt>
                <c:pt idx="4">
                  <c:v>44</c:v>
                </c:pt>
                <c:pt idx="5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F1-4704-9D7C-CC74B6FE9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3470864"/>
        <c:axId val="1213490544"/>
      </c:barChart>
      <c:catAx>
        <c:axId val="1213470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3490544"/>
        <c:crosses val="autoZero"/>
        <c:auto val="1"/>
        <c:lblAlgn val="ctr"/>
        <c:lblOffset val="100"/>
        <c:noMultiLvlLbl val="0"/>
      </c:catAx>
      <c:valAx>
        <c:axId val="12134905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13470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Dashboard_Quantidade!A1"/><Relationship Id="rId3" Type="http://schemas.openxmlformats.org/officeDocument/2006/relationships/image" Target="../media/image3.png"/><Relationship Id="rId7" Type="http://schemas.openxmlformats.org/officeDocument/2006/relationships/hyperlink" Target="#Dashboard_Faturamento!A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chart" Target="../charts/chart3.xml"/><Relationship Id="rId5" Type="http://schemas.openxmlformats.org/officeDocument/2006/relationships/image" Target="../media/image5.png"/><Relationship Id="rId10" Type="http://schemas.openxmlformats.org/officeDocument/2006/relationships/chart" Target="../charts/chart2.xml"/><Relationship Id="rId4" Type="http://schemas.openxmlformats.org/officeDocument/2006/relationships/image" Target="../media/image4.svg"/><Relationship Id="rId9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5.png"/><Relationship Id="rId7" Type="http://schemas.openxmlformats.org/officeDocument/2006/relationships/chart" Target="../charts/chart4.xml"/><Relationship Id="rId2" Type="http://schemas.openxmlformats.org/officeDocument/2006/relationships/image" Target="../media/image7.svg"/><Relationship Id="rId1" Type="http://schemas.openxmlformats.org/officeDocument/2006/relationships/image" Target="../media/image3.png"/><Relationship Id="rId6" Type="http://schemas.openxmlformats.org/officeDocument/2006/relationships/hyperlink" Target="#Dashboard_Quantidade!A1"/><Relationship Id="rId11" Type="http://schemas.openxmlformats.org/officeDocument/2006/relationships/image" Target="../media/image10.svg"/><Relationship Id="rId5" Type="http://schemas.openxmlformats.org/officeDocument/2006/relationships/hyperlink" Target="#Dashboard_Faturamento!A1"/><Relationship Id="rId10" Type="http://schemas.openxmlformats.org/officeDocument/2006/relationships/image" Target="../media/image9.png"/><Relationship Id="rId4" Type="http://schemas.openxmlformats.org/officeDocument/2006/relationships/image" Target="../media/image8.svg"/><Relationship Id="rId9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85724</xdr:colOff>
      <xdr:row>3</xdr:row>
      <xdr:rowOff>28574</xdr:rowOff>
    </xdr:from>
    <xdr:to>
      <xdr:col>19</xdr:col>
      <xdr:colOff>85725</xdr:colOff>
      <xdr:row>32</xdr:row>
      <xdr:rowOff>9524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B841F271-D36F-466C-7970-2C19A5C5299F}"/>
            </a:ext>
          </a:extLst>
        </xdr:cNvPr>
        <xdr:cNvSpPr/>
      </xdr:nvSpPr>
      <xdr:spPr>
        <a:xfrm>
          <a:off x="1685924" y="409574"/>
          <a:ext cx="10810876" cy="5343525"/>
        </a:xfrm>
        <a:prstGeom prst="roundRect">
          <a:avLst>
            <a:gd name="adj" fmla="val 5696"/>
          </a:avLst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9</xdr:col>
      <xdr:colOff>66341</xdr:colOff>
      <xdr:row>1</xdr:row>
      <xdr:rowOff>28574</xdr:rowOff>
    </xdr:from>
    <xdr:to>
      <xdr:col>9</xdr:col>
      <xdr:colOff>554965</xdr:colOff>
      <xdr:row>4</xdr:row>
      <xdr:rowOff>19049</xdr:rowOff>
    </xdr:to>
    <xdr:pic>
      <xdr:nvPicPr>
        <xdr:cNvPr id="9" name="Gráfico 8" descr="Dinheiro com preenchimento sólido">
          <a:extLst>
            <a:ext uri="{FF2B5EF4-FFF2-40B4-BE49-F238E27FC236}">
              <a16:creationId xmlns:a16="http://schemas.microsoft.com/office/drawing/2014/main" id="{D3DFEED7-C39B-09DB-416B-3636CFF32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495716" y="28574"/>
          <a:ext cx="488624" cy="409575"/>
        </a:xfrm>
        <a:prstGeom prst="rect">
          <a:avLst/>
        </a:prstGeom>
      </xdr:spPr>
    </xdr:pic>
    <xdr:clientData/>
  </xdr:twoCellAnchor>
  <xdr:twoCellAnchor editAs="oneCell">
    <xdr:from>
      <xdr:col>16</xdr:col>
      <xdr:colOff>171450</xdr:colOff>
      <xdr:row>1</xdr:row>
      <xdr:rowOff>9525</xdr:rowOff>
    </xdr:from>
    <xdr:to>
      <xdr:col>16</xdr:col>
      <xdr:colOff>561975</xdr:colOff>
      <xdr:row>3</xdr:row>
      <xdr:rowOff>9525</xdr:rowOff>
    </xdr:to>
    <xdr:pic>
      <xdr:nvPicPr>
        <xdr:cNvPr id="11" name="Gráfico 10" descr="Bola de confetes com preenchimento sólido">
          <a:extLst>
            <a:ext uri="{FF2B5EF4-FFF2-40B4-BE49-F238E27FC236}">
              <a16:creationId xmlns:a16="http://schemas.microsoft.com/office/drawing/2014/main" id="{3E85CC73-0BBC-5B95-CF61-8DF8821CC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0753725" y="9525"/>
          <a:ext cx="390525" cy="390525"/>
        </a:xfrm>
        <a:prstGeom prst="rect">
          <a:avLst/>
        </a:prstGeom>
      </xdr:spPr>
    </xdr:pic>
    <xdr:clientData/>
  </xdr:twoCellAnchor>
  <xdr:twoCellAnchor editAs="oneCell">
    <xdr:from>
      <xdr:col>12</xdr:col>
      <xdr:colOff>142876</xdr:colOff>
      <xdr:row>1</xdr:row>
      <xdr:rowOff>9526</xdr:rowOff>
    </xdr:from>
    <xdr:to>
      <xdr:col>12</xdr:col>
      <xdr:colOff>561976</xdr:colOff>
      <xdr:row>4</xdr:row>
      <xdr:rowOff>9526</xdr:rowOff>
    </xdr:to>
    <xdr:pic>
      <xdr:nvPicPr>
        <xdr:cNvPr id="13" name="Gráfico 12" descr="Tendência ascendente com preenchimento sólido">
          <a:extLst>
            <a:ext uri="{FF2B5EF4-FFF2-40B4-BE49-F238E27FC236}">
              <a16:creationId xmlns:a16="http://schemas.microsoft.com/office/drawing/2014/main" id="{9DD809FC-02AD-C33B-49DA-E00DDEBAF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543926" y="9526"/>
          <a:ext cx="419100" cy="419100"/>
        </a:xfrm>
        <a:prstGeom prst="rect">
          <a:avLst/>
        </a:prstGeom>
      </xdr:spPr>
    </xdr:pic>
    <xdr:clientData/>
  </xdr:twoCellAnchor>
  <xdr:twoCellAnchor>
    <xdr:from>
      <xdr:col>3</xdr:col>
      <xdr:colOff>66675</xdr:colOff>
      <xdr:row>1</xdr:row>
      <xdr:rowOff>38100</xdr:rowOff>
    </xdr:from>
    <xdr:to>
      <xdr:col>4</xdr:col>
      <xdr:colOff>276225</xdr:colOff>
      <xdr:row>3</xdr:row>
      <xdr:rowOff>19049</xdr:rowOff>
    </xdr:to>
    <xdr:sp macro="" textlink="">
      <xdr:nvSpPr>
        <xdr:cNvPr id="14" name="Retângulo 1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4BFC07B-0EBE-2D04-9D4D-CDEAF7A45439}"/>
            </a:ext>
          </a:extLst>
        </xdr:cNvPr>
        <xdr:cNvSpPr/>
      </xdr:nvSpPr>
      <xdr:spPr>
        <a:xfrm>
          <a:off x="2276475" y="38100"/>
          <a:ext cx="819150" cy="361949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VENDAS</a:t>
          </a:r>
        </a:p>
      </xdr:txBody>
    </xdr:sp>
    <xdr:clientData/>
  </xdr:twoCellAnchor>
  <xdr:twoCellAnchor>
    <xdr:from>
      <xdr:col>4</xdr:col>
      <xdr:colOff>361950</xdr:colOff>
      <xdr:row>1</xdr:row>
      <xdr:rowOff>38100</xdr:rowOff>
    </xdr:from>
    <xdr:to>
      <xdr:col>5</xdr:col>
      <xdr:colOff>571500</xdr:colOff>
      <xdr:row>3</xdr:row>
      <xdr:rowOff>19049</xdr:rowOff>
    </xdr:to>
    <xdr:sp macro="" textlink="">
      <xdr:nvSpPr>
        <xdr:cNvPr id="15" name="Retângulo 1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98723B4-5F60-45D3-8B6B-86981C79B478}"/>
            </a:ext>
          </a:extLst>
        </xdr:cNvPr>
        <xdr:cNvSpPr/>
      </xdr:nvSpPr>
      <xdr:spPr>
        <a:xfrm>
          <a:off x="3181350" y="38100"/>
          <a:ext cx="819150" cy="361949"/>
        </a:xfrm>
        <a:prstGeom prst="rect">
          <a:avLst/>
        </a:prstGeom>
        <a:solidFill>
          <a:schemeClr val="bg1">
            <a:lumMod val="65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QTD</a:t>
          </a:r>
        </a:p>
      </xdr:txBody>
    </xdr:sp>
    <xdr:clientData/>
  </xdr:twoCellAnchor>
  <xdr:twoCellAnchor>
    <xdr:from>
      <xdr:col>2</xdr:col>
      <xdr:colOff>161925</xdr:colOff>
      <xdr:row>4</xdr:row>
      <xdr:rowOff>85725</xdr:rowOff>
    </xdr:from>
    <xdr:to>
      <xdr:col>10</xdr:col>
      <xdr:colOff>161925</xdr:colOff>
      <xdr:row>16</xdr:row>
      <xdr:rowOff>161925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42852DA5-4638-43DD-A0C5-5BA6F9828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257175</xdr:colOff>
      <xdr:row>4</xdr:row>
      <xdr:rowOff>85726</xdr:rowOff>
    </xdr:from>
    <xdr:to>
      <xdr:col>18</xdr:col>
      <xdr:colOff>600075</xdr:colOff>
      <xdr:row>16</xdr:row>
      <xdr:rowOff>161926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70523B9D-B8FA-4467-AD47-1BB19BD376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161925</xdr:colOff>
      <xdr:row>17</xdr:row>
      <xdr:rowOff>57150</xdr:rowOff>
    </xdr:from>
    <xdr:to>
      <xdr:col>18</xdr:col>
      <xdr:colOff>600075</xdr:colOff>
      <xdr:row>31</xdr:row>
      <xdr:rowOff>104775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0EC916D-4390-4228-9C87-8F220139C4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0</xdr:colOff>
      <xdr:row>5</xdr:row>
      <xdr:rowOff>19050</xdr:rowOff>
    </xdr:from>
    <xdr:to>
      <xdr:col>2</xdr:col>
      <xdr:colOff>76200</xdr:colOff>
      <xdr:row>15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Vendedor">
              <a:extLst>
                <a:ext uri="{FF2B5EF4-FFF2-40B4-BE49-F238E27FC236}">
                  <a16:creationId xmlns:a16="http://schemas.microsoft.com/office/drawing/2014/main" id="{AA77B344-D4A1-0041-BF5B-82FD379A97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619125"/>
              <a:ext cx="1676400" cy="1990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17</xdr:row>
      <xdr:rowOff>0</xdr:rowOff>
    </xdr:from>
    <xdr:to>
      <xdr:col>2</xdr:col>
      <xdr:colOff>76200</xdr:colOff>
      <xdr:row>27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Produto">
              <a:extLst>
                <a:ext uri="{FF2B5EF4-FFF2-40B4-BE49-F238E27FC236}">
                  <a16:creationId xmlns:a16="http://schemas.microsoft.com/office/drawing/2014/main" id="{AEE9EE33-0065-13F5-7537-F72FEF6820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886075"/>
              <a:ext cx="1676400" cy="2019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85724</xdr:colOff>
      <xdr:row>3</xdr:row>
      <xdr:rowOff>28574</xdr:rowOff>
    </xdr:from>
    <xdr:to>
      <xdr:col>19</xdr:col>
      <xdr:colOff>85725</xdr:colOff>
      <xdr:row>32</xdr:row>
      <xdr:rowOff>9524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F8EEAD5F-0600-4160-86A8-CE4AE4645342}"/>
            </a:ext>
          </a:extLst>
        </xdr:cNvPr>
        <xdr:cNvSpPr/>
      </xdr:nvSpPr>
      <xdr:spPr>
        <a:xfrm>
          <a:off x="1685924" y="409574"/>
          <a:ext cx="10810876" cy="5343525"/>
        </a:xfrm>
        <a:prstGeom prst="roundRect">
          <a:avLst>
            <a:gd name="adj" fmla="val 5696"/>
          </a:avLst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16</xdr:col>
      <xdr:colOff>171450</xdr:colOff>
      <xdr:row>1</xdr:row>
      <xdr:rowOff>9525</xdr:rowOff>
    </xdr:from>
    <xdr:to>
      <xdr:col>16</xdr:col>
      <xdr:colOff>561975</xdr:colOff>
      <xdr:row>3</xdr:row>
      <xdr:rowOff>9525</xdr:rowOff>
    </xdr:to>
    <xdr:pic>
      <xdr:nvPicPr>
        <xdr:cNvPr id="4" name="Gráfico 3" descr="Bola de confetes com preenchimento sólido">
          <a:extLst>
            <a:ext uri="{FF2B5EF4-FFF2-40B4-BE49-F238E27FC236}">
              <a16:creationId xmlns:a16="http://schemas.microsoft.com/office/drawing/2014/main" id="{B13B668A-EAAE-4305-90BB-FDABED371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753725" y="9525"/>
          <a:ext cx="390525" cy="390525"/>
        </a:xfrm>
        <a:prstGeom prst="rect">
          <a:avLst/>
        </a:prstGeom>
      </xdr:spPr>
    </xdr:pic>
    <xdr:clientData/>
  </xdr:twoCellAnchor>
  <xdr:twoCellAnchor editAs="oneCell">
    <xdr:from>
      <xdr:col>12</xdr:col>
      <xdr:colOff>142876</xdr:colOff>
      <xdr:row>1</xdr:row>
      <xdr:rowOff>9526</xdr:rowOff>
    </xdr:from>
    <xdr:to>
      <xdr:col>12</xdr:col>
      <xdr:colOff>561976</xdr:colOff>
      <xdr:row>4</xdr:row>
      <xdr:rowOff>9526</xdr:rowOff>
    </xdr:to>
    <xdr:pic>
      <xdr:nvPicPr>
        <xdr:cNvPr id="5" name="Gráfico 4" descr="Tendência ascendente com preenchimento sólido">
          <a:extLst>
            <a:ext uri="{FF2B5EF4-FFF2-40B4-BE49-F238E27FC236}">
              <a16:creationId xmlns:a16="http://schemas.microsoft.com/office/drawing/2014/main" id="{9EC2DCD7-996B-4C99-A43E-59EB9E492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543926" y="9526"/>
          <a:ext cx="419100" cy="419100"/>
        </a:xfrm>
        <a:prstGeom prst="rect">
          <a:avLst/>
        </a:prstGeom>
      </xdr:spPr>
    </xdr:pic>
    <xdr:clientData/>
  </xdr:twoCellAnchor>
  <xdr:twoCellAnchor>
    <xdr:from>
      <xdr:col>3</xdr:col>
      <xdr:colOff>66675</xdr:colOff>
      <xdr:row>1</xdr:row>
      <xdr:rowOff>38100</xdr:rowOff>
    </xdr:from>
    <xdr:to>
      <xdr:col>4</xdr:col>
      <xdr:colOff>276225</xdr:colOff>
      <xdr:row>3</xdr:row>
      <xdr:rowOff>19049</xdr:rowOff>
    </xdr:to>
    <xdr:sp macro="" textlink="">
      <xdr:nvSpPr>
        <xdr:cNvPr id="6" name="Retâ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E6020A4-E2AA-4CA1-995E-FFB5B25D9458}"/>
            </a:ext>
          </a:extLst>
        </xdr:cNvPr>
        <xdr:cNvSpPr/>
      </xdr:nvSpPr>
      <xdr:spPr>
        <a:xfrm>
          <a:off x="2276475" y="38100"/>
          <a:ext cx="819150" cy="361949"/>
        </a:xfrm>
        <a:prstGeom prst="rect">
          <a:avLst/>
        </a:prstGeom>
        <a:solidFill>
          <a:schemeClr val="bg1">
            <a:lumMod val="65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VENDAS</a:t>
          </a:r>
        </a:p>
      </xdr:txBody>
    </xdr:sp>
    <xdr:clientData/>
  </xdr:twoCellAnchor>
  <xdr:twoCellAnchor>
    <xdr:from>
      <xdr:col>4</xdr:col>
      <xdr:colOff>361950</xdr:colOff>
      <xdr:row>1</xdr:row>
      <xdr:rowOff>38100</xdr:rowOff>
    </xdr:from>
    <xdr:to>
      <xdr:col>5</xdr:col>
      <xdr:colOff>571500</xdr:colOff>
      <xdr:row>3</xdr:row>
      <xdr:rowOff>19049</xdr:rowOff>
    </xdr:to>
    <xdr:sp macro="" textlink="">
      <xdr:nvSpPr>
        <xdr:cNvPr id="7" name="Retângul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4206DE4-0F99-4E2B-8294-899496076F3C}"/>
            </a:ext>
          </a:extLst>
        </xdr:cNvPr>
        <xdr:cNvSpPr/>
      </xdr:nvSpPr>
      <xdr:spPr>
        <a:xfrm>
          <a:off x="3181350" y="38100"/>
          <a:ext cx="819150" cy="361949"/>
        </a:xfrm>
        <a:prstGeom prst="rect">
          <a:avLst/>
        </a:prstGeom>
        <a:solidFill>
          <a:schemeClr val="accent1"/>
        </a:solidFill>
        <a:ln>
          <a:noFill/>
        </a:ln>
        <a:effectLst/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QTD</a:t>
          </a:r>
        </a:p>
      </xdr:txBody>
    </xdr:sp>
    <xdr:clientData/>
  </xdr:twoCellAnchor>
  <xdr:twoCellAnchor>
    <xdr:from>
      <xdr:col>2</xdr:col>
      <xdr:colOff>161924</xdr:colOff>
      <xdr:row>17</xdr:row>
      <xdr:rowOff>57150</xdr:rowOff>
    </xdr:from>
    <xdr:to>
      <xdr:col>18</xdr:col>
      <xdr:colOff>600075</xdr:colOff>
      <xdr:row>31</xdr:row>
      <xdr:rowOff>104775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E1AB099F-F8A2-4572-8354-85650B5AA4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161924</xdr:colOff>
      <xdr:row>4</xdr:row>
      <xdr:rowOff>85725</xdr:rowOff>
    </xdr:from>
    <xdr:to>
      <xdr:col>10</xdr:col>
      <xdr:colOff>161924</xdr:colOff>
      <xdr:row>16</xdr:row>
      <xdr:rowOff>161925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BD994347-4525-45AD-8D6B-D66636003E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257174</xdr:colOff>
      <xdr:row>4</xdr:row>
      <xdr:rowOff>85726</xdr:rowOff>
    </xdr:from>
    <xdr:to>
      <xdr:col>18</xdr:col>
      <xdr:colOff>600075</xdr:colOff>
      <xdr:row>16</xdr:row>
      <xdr:rowOff>161925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BB3728D2-7E7C-42B3-891B-D7746528A7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0</xdr:colOff>
      <xdr:row>5</xdr:row>
      <xdr:rowOff>19051</xdr:rowOff>
    </xdr:from>
    <xdr:to>
      <xdr:col>2</xdr:col>
      <xdr:colOff>76199</xdr:colOff>
      <xdr:row>14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Vendedor Qtd">
              <a:extLst>
                <a:ext uri="{FF2B5EF4-FFF2-40B4-BE49-F238E27FC236}">
                  <a16:creationId xmlns:a16="http://schemas.microsoft.com/office/drawing/2014/main" id="{DE8CF59C-995F-9318-66B1-7A816FAFFC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 Qt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695326"/>
              <a:ext cx="1676399" cy="18002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17</xdr:row>
      <xdr:rowOff>0</xdr:rowOff>
    </xdr:from>
    <xdr:to>
      <xdr:col>2</xdr:col>
      <xdr:colOff>76200</xdr:colOff>
      <xdr:row>27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Produto Qtd">
              <a:extLst>
                <a:ext uri="{FF2B5EF4-FFF2-40B4-BE49-F238E27FC236}">
                  <a16:creationId xmlns:a16="http://schemas.microsoft.com/office/drawing/2014/main" id="{5D1559D7-5A14-E868-71E9-D109F97E739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 Qt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962275"/>
              <a:ext cx="1676400" cy="1933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123824</xdr:colOff>
      <xdr:row>0</xdr:row>
      <xdr:rowOff>0</xdr:rowOff>
    </xdr:from>
    <xdr:to>
      <xdr:col>9</xdr:col>
      <xdr:colOff>609599</xdr:colOff>
      <xdr:row>4</xdr:row>
      <xdr:rowOff>0</xdr:rowOff>
    </xdr:to>
    <xdr:pic>
      <xdr:nvPicPr>
        <xdr:cNvPr id="16" name="Gráfico 15" descr="Inventário correto com preenchimento sólido">
          <a:extLst>
            <a:ext uri="{FF2B5EF4-FFF2-40B4-BE49-F238E27FC236}">
              <a16:creationId xmlns:a16="http://schemas.microsoft.com/office/drawing/2014/main" id="{F5E34672-4D1A-3133-EDAB-8BE3AD4BB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6553199" y="0"/>
          <a:ext cx="485775" cy="4857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languinho" refreshedDate="46060.861939120368" createdVersion="8" refreshedVersion="8" minRefreshableVersion="3" recordCount="359" xr:uid="{B509F3DA-1EF2-466E-AF66-82F6BB957608}">
  <cacheSource type="worksheet">
    <worksheetSource name="Tabela1"/>
  </cacheSource>
  <cacheFields count="6">
    <cacheField name="Data" numFmtId="14">
      <sharedItems containsSemiMixedTypes="0" containsNonDate="0" containsDate="1" containsString="0" minDate="2021-01-01T00:00:00" maxDate="2021-07-15T00:00:00" count="164">
        <d v="2021-01-01T00:00:00"/>
        <d v="2021-01-02T00:00:00"/>
        <d v="2021-01-04T00:00:00"/>
        <d v="2021-01-06T00:00:00"/>
        <d v="2021-01-07T00:00:00"/>
        <d v="2021-01-09T00:00:00"/>
        <d v="2021-01-10T00:00:00"/>
        <d v="2021-01-12T00:00:00"/>
        <d v="2021-01-13T00:00:00"/>
        <d v="2021-01-14T00:00:00"/>
        <d v="2021-01-16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21T00:00:00"/>
        <d v="2021-02-22T00:00:00"/>
        <d v="2021-02-24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1T00:00:00"/>
        <d v="2021-03-22T00:00:00"/>
        <d v="2021-03-23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20T00:00:00"/>
        <d v="2021-04-21T00:00:00"/>
        <d v="2021-04-22T00:00:00"/>
        <d v="2021-04-23T00:00:00"/>
        <d v="2021-04-24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8T00:00:00"/>
        <d v="2021-05-29T00:00:00"/>
        <d v="2021-05-31T00:00:00"/>
        <d v="2021-06-01T00:00:00"/>
        <d v="2021-06-02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7T00:00:00"/>
        <d v="2021-06-18T00:00:00"/>
        <d v="2021-06-19T00:00:00"/>
        <d v="2021-06-20T00:00:00"/>
        <d v="2021-06-21T00:00:00"/>
        <d v="2021-06-22T00:00:00"/>
        <d v="2021-06-24T00:00:00"/>
        <d v="2021-06-25T00:00:00"/>
        <d v="2021-06-27T00:00:00"/>
        <d v="2021-06-29T00:00:00"/>
        <d v="2021-06-30T00:00:00"/>
        <d v="2021-07-01T00:00:00"/>
        <d v="2021-07-02T00:00:00"/>
        <d v="2021-07-03T00:00:00"/>
        <d v="2021-07-04T00:00:00"/>
        <d v="2021-07-06T00:00:00"/>
        <d v="2021-07-07T00:00:00"/>
        <d v="2021-07-09T00:00:00"/>
        <d v="2021-07-10T00:00:00"/>
        <d v="2021-07-11T00:00:00"/>
        <d v="2021-07-12T00:00:00"/>
        <d v="2021-07-13T00:00:00"/>
        <d v="2021-07-14T00:00:00"/>
      </sharedItems>
      <fieldGroup par="5"/>
    </cacheField>
    <cacheField name="Vendedor" numFmtId="0">
      <sharedItems count="6">
        <s v="Pedro"/>
        <s v="Bruno"/>
        <s v="Rafael"/>
        <s v="Clara"/>
        <s v="Sabrina"/>
        <s v="Luiza"/>
      </sharedItems>
    </cacheField>
    <cacheField name="Produto" numFmtId="0">
      <sharedItems count="6">
        <s v="Notebook Gamer"/>
        <s v="Bateria Mega"/>
        <s v="Monitor"/>
        <s v="Notebook Pro"/>
        <s v="Teclado"/>
        <s v="Notebook Mega"/>
      </sharedItems>
    </cacheField>
    <cacheField name="Valor Total" numFmtId="164">
      <sharedItems containsSemiMixedTypes="0" containsString="0" containsNumber="1" containsInteger="1" minValue="600" maxValue="8000"/>
    </cacheField>
    <cacheField name="Dias (Data)" numFmtId="0" databaseField="0">
      <fieldGroup base="0">
        <rangePr groupBy="days" startDate="2021-01-01T00:00:00" endDate="2021-07-15T00:00:00"/>
        <groupItems count="368">
          <s v="&lt;1/1/2021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7/15/2021"/>
        </groupItems>
      </fieldGroup>
    </cacheField>
    <cacheField name="Meses (Data)" numFmtId="0" databaseField="0">
      <fieldGroup base="0">
        <rangePr groupBy="months" startDate="2021-01-01T00:00:00" endDate="2021-07-15T00:00:00"/>
        <groupItems count="14">
          <s v="&lt;1/1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5/2021"/>
        </groupItems>
      </fieldGroup>
    </cacheField>
  </cacheFields>
  <extLst>
    <ext xmlns:x14="http://schemas.microsoft.com/office/spreadsheetml/2009/9/main" uri="{725AE2AE-9491-48be-B2B4-4EB974FC3084}">
      <x14:pivotCacheDefinition pivotCacheId="37303124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9">
  <r>
    <x v="0"/>
    <x v="0"/>
    <x v="0"/>
    <n v="5400"/>
  </r>
  <r>
    <x v="0"/>
    <x v="1"/>
    <x v="1"/>
    <n v="1200"/>
  </r>
  <r>
    <x v="1"/>
    <x v="2"/>
    <x v="0"/>
    <n v="5400"/>
  </r>
  <r>
    <x v="1"/>
    <x v="1"/>
    <x v="2"/>
    <n v="2500"/>
  </r>
  <r>
    <x v="1"/>
    <x v="2"/>
    <x v="0"/>
    <n v="5400"/>
  </r>
  <r>
    <x v="1"/>
    <x v="3"/>
    <x v="3"/>
    <n v="8000"/>
  </r>
  <r>
    <x v="2"/>
    <x v="4"/>
    <x v="0"/>
    <n v="5400"/>
  </r>
  <r>
    <x v="2"/>
    <x v="2"/>
    <x v="3"/>
    <n v="8000"/>
  </r>
  <r>
    <x v="2"/>
    <x v="2"/>
    <x v="0"/>
    <n v="5400"/>
  </r>
  <r>
    <x v="3"/>
    <x v="4"/>
    <x v="2"/>
    <n v="2500"/>
  </r>
  <r>
    <x v="3"/>
    <x v="1"/>
    <x v="0"/>
    <n v="5400"/>
  </r>
  <r>
    <x v="4"/>
    <x v="3"/>
    <x v="1"/>
    <n v="1200"/>
  </r>
  <r>
    <x v="4"/>
    <x v="0"/>
    <x v="3"/>
    <n v="8000"/>
  </r>
  <r>
    <x v="5"/>
    <x v="5"/>
    <x v="0"/>
    <n v="5400"/>
  </r>
  <r>
    <x v="5"/>
    <x v="5"/>
    <x v="1"/>
    <n v="1200"/>
  </r>
  <r>
    <x v="6"/>
    <x v="3"/>
    <x v="4"/>
    <n v="600"/>
  </r>
  <r>
    <x v="6"/>
    <x v="5"/>
    <x v="2"/>
    <n v="2500"/>
  </r>
  <r>
    <x v="7"/>
    <x v="2"/>
    <x v="1"/>
    <n v="1200"/>
  </r>
  <r>
    <x v="8"/>
    <x v="3"/>
    <x v="5"/>
    <n v="3200"/>
  </r>
  <r>
    <x v="8"/>
    <x v="5"/>
    <x v="5"/>
    <n v="3200"/>
  </r>
  <r>
    <x v="9"/>
    <x v="2"/>
    <x v="5"/>
    <n v="3200"/>
  </r>
  <r>
    <x v="9"/>
    <x v="3"/>
    <x v="0"/>
    <n v="5400"/>
  </r>
  <r>
    <x v="9"/>
    <x v="0"/>
    <x v="5"/>
    <n v="3200"/>
  </r>
  <r>
    <x v="9"/>
    <x v="4"/>
    <x v="0"/>
    <n v="5400"/>
  </r>
  <r>
    <x v="9"/>
    <x v="0"/>
    <x v="3"/>
    <n v="8000"/>
  </r>
  <r>
    <x v="10"/>
    <x v="3"/>
    <x v="0"/>
    <n v="5400"/>
  </r>
  <r>
    <x v="11"/>
    <x v="5"/>
    <x v="5"/>
    <n v="3200"/>
  </r>
  <r>
    <x v="12"/>
    <x v="4"/>
    <x v="3"/>
    <n v="8000"/>
  </r>
  <r>
    <x v="12"/>
    <x v="5"/>
    <x v="0"/>
    <n v="5400"/>
  </r>
  <r>
    <x v="13"/>
    <x v="3"/>
    <x v="1"/>
    <n v="1200"/>
  </r>
  <r>
    <x v="13"/>
    <x v="3"/>
    <x v="2"/>
    <n v="2500"/>
  </r>
  <r>
    <x v="14"/>
    <x v="1"/>
    <x v="3"/>
    <n v="8000"/>
  </r>
  <r>
    <x v="14"/>
    <x v="4"/>
    <x v="5"/>
    <n v="3200"/>
  </r>
  <r>
    <x v="15"/>
    <x v="1"/>
    <x v="0"/>
    <n v="5400"/>
  </r>
  <r>
    <x v="15"/>
    <x v="4"/>
    <x v="3"/>
    <n v="8000"/>
  </r>
  <r>
    <x v="15"/>
    <x v="2"/>
    <x v="1"/>
    <n v="1200"/>
  </r>
  <r>
    <x v="16"/>
    <x v="5"/>
    <x v="2"/>
    <n v="2500"/>
  </r>
  <r>
    <x v="17"/>
    <x v="3"/>
    <x v="4"/>
    <n v="600"/>
  </r>
  <r>
    <x v="18"/>
    <x v="5"/>
    <x v="0"/>
    <n v="5400"/>
  </r>
  <r>
    <x v="18"/>
    <x v="0"/>
    <x v="3"/>
    <n v="8000"/>
  </r>
  <r>
    <x v="18"/>
    <x v="4"/>
    <x v="2"/>
    <n v="2500"/>
  </r>
  <r>
    <x v="19"/>
    <x v="2"/>
    <x v="2"/>
    <n v="2500"/>
  </r>
  <r>
    <x v="19"/>
    <x v="0"/>
    <x v="4"/>
    <n v="600"/>
  </r>
  <r>
    <x v="20"/>
    <x v="1"/>
    <x v="0"/>
    <n v="5400"/>
  </r>
  <r>
    <x v="20"/>
    <x v="5"/>
    <x v="0"/>
    <n v="5400"/>
  </r>
  <r>
    <x v="21"/>
    <x v="4"/>
    <x v="2"/>
    <n v="2500"/>
  </r>
  <r>
    <x v="21"/>
    <x v="2"/>
    <x v="4"/>
    <n v="600"/>
  </r>
  <r>
    <x v="21"/>
    <x v="3"/>
    <x v="3"/>
    <n v="8000"/>
  </r>
  <r>
    <x v="21"/>
    <x v="3"/>
    <x v="4"/>
    <n v="600"/>
  </r>
  <r>
    <x v="22"/>
    <x v="3"/>
    <x v="0"/>
    <n v="5400"/>
  </r>
  <r>
    <x v="23"/>
    <x v="5"/>
    <x v="0"/>
    <n v="5400"/>
  </r>
  <r>
    <x v="23"/>
    <x v="3"/>
    <x v="5"/>
    <n v="3200"/>
  </r>
  <r>
    <x v="24"/>
    <x v="0"/>
    <x v="3"/>
    <n v="8000"/>
  </r>
  <r>
    <x v="25"/>
    <x v="5"/>
    <x v="4"/>
    <n v="600"/>
  </r>
  <r>
    <x v="25"/>
    <x v="2"/>
    <x v="5"/>
    <n v="3200"/>
  </r>
  <r>
    <x v="26"/>
    <x v="1"/>
    <x v="0"/>
    <n v="5400"/>
  </r>
  <r>
    <x v="26"/>
    <x v="5"/>
    <x v="1"/>
    <n v="1200"/>
  </r>
  <r>
    <x v="26"/>
    <x v="3"/>
    <x v="1"/>
    <n v="1200"/>
  </r>
  <r>
    <x v="27"/>
    <x v="5"/>
    <x v="2"/>
    <n v="2500"/>
  </r>
  <r>
    <x v="27"/>
    <x v="3"/>
    <x v="1"/>
    <n v="1200"/>
  </r>
  <r>
    <x v="27"/>
    <x v="0"/>
    <x v="2"/>
    <n v="2500"/>
  </r>
  <r>
    <x v="27"/>
    <x v="4"/>
    <x v="0"/>
    <n v="5400"/>
  </r>
  <r>
    <x v="27"/>
    <x v="3"/>
    <x v="0"/>
    <n v="5400"/>
  </r>
  <r>
    <x v="27"/>
    <x v="0"/>
    <x v="3"/>
    <n v="8000"/>
  </r>
  <r>
    <x v="28"/>
    <x v="2"/>
    <x v="5"/>
    <n v="3200"/>
  </r>
  <r>
    <x v="28"/>
    <x v="1"/>
    <x v="0"/>
    <n v="5400"/>
  </r>
  <r>
    <x v="28"/>
    <x v="5"/>
    <x v="3"/>
    <n v="8000"/>
  </r>
  <r>
    <x v="29"/>
    <x v="3"/>
    <x v="0"/>
    <n v="5400"/>
  </r>
  <r>
    <x v="30"/>
    <x v="1"/>
    <x v="4"/>
    <n v="600"/>
  </r>
  <r>
    <x v="30"/>
    <x v="5"/>
    <x v="0"/>
    <n v="5400"/>
  </r>
  <r>
    <x v="30"/>
    <x v="1"/>
    <x v="0"/>
    <n v="5400"/>
  </r>
  <r>
    <x v="30"/>
    <x v="1"/>
    <x v="0"/>
    <n v="5400"/>
  </r>
  <r>
    <x v="31"/>
    <x v="2"/>
    <x v="3"/>
    <n v="8000"/>
  </r>
  <r>
    <x v="31"/>
    <x v="3"/>
    <x v="2"/>
    <n v="2500"/>
  </r>
  <r>
    <x v="31"/>
    <x v="1"/>
    <x v="5"/>
    <n v="3200"/>
  </r>
  <r>
    <x v="32"/>
    <x v="4"/>
    <x v="0"/>
    <n v="5400"/>
  </r>
  <r>
    <x v="33"/>
    <x v="1"/>
    <x v="2"/>
    <n v="2500"/>
  </r>
  <r>
    <x v="33"/>
    <x v="0"/>
    <x v="2"/>
    <n v="2500"/>
  </r>
  <r>
    <x v="33"/>
    <x v="3"/>
    <x v="2"/>
    <n v="2500"/>
  </r>
  <r>
    <x v="33"/>
    <x v="3"/>
    <x v="0"/>
    <n v="5400"/>
  </r>
  <r>
    <x v="33"/>
    <x v="1"/>
    <x v="3"/>
    <n v="8000"/>
  </r>
  <r>
    <x v="33"/>
    <x v="0"/>
    <x v="0"/>
    <n v="5400"/>
  </r>
  <r>
    <x v="34"/>
    <x v="3"/>
    <x v="4"/>
    <n v="600"/>
  </r>
  <r>
    <x v="34"/>
    <x v="0"/>
    <x v="5"/>
    <n v="3200"/>
  </r>
  <r>
    <x v="35"/>
    <x v="2"/>
    <x v="4"/>
    <n v="600"/>
  </r>
  <r>
    <x v="35"/>
    <x v="3"/>
    <x v="0"/>
    <n v="5400"/>
  </r>
  <r>
    <x v="36"/>
    <x v="5"/>
    <x v="1"/>
    <n v="1200"/>
  </r>
  <r>
    <x v="37"/>
    <x v="4"/>
    <x v="5"/>
    <n v="3200"/>
  </r>
  <r>
    <x v="38"/>
    <x v="4"/>
    <x v="1"/>
    <n v="1200"/>
  </r>
  <r>
    <x v="39"/>
    <x v="1"/>
    <x v="4"/>
    <n v="600"/>
  </r>
  <r>
    <x v="39"/>
    <x v="2"/>
    <x v="5"/>
    <n v="3200"/>
  </r>
  <r>
    <x v="39"/>
    <x v="5"/>
    <x v="1"/>
    <n v="1200"/>
  </r>
  <r>
    <x v="40"/>
    <x v="1"/>
    <x v="5"/>
    <n v="3200"/>
  </r>
  <r>
    <x v="40"/>
    <x v="0"/>
    <x v="0"/>
    <n v="5400"/>
  </r>
  <r>
    <x v="40"/>
    <x v="3"/>
    <x v="3"/>
    <n v="8000"/>
  </r>
  <r>
    <x v="41"/>
    <x v="5"/>
    <x v="2"/>
    <n v="2500"/>
  </r>
  <r>
    <x v="41"/>
    <x v="2"/>
    <x v="0"/>
    <n v="5400"/>
  </r>
  <r>
    <x v="41"/>
    <x v="0"/>
    <x v="3"/>
    <n v="8000"/>
  </r>
  <r>
    <x v="42"/>
    <x v="3"/>
    <x v="5"/>
    <n v="3200"/>
  </r>
  <r>
    <x v="42"/>
    <x v="5"/>
    <x v="0"/>
    <n v="5400"/>
  </r>
  <r>
    <x v="43"/>
    <x v="2"/>
    <x v="4"/>
    <n v="600"/>
  </r>
  <r>
    <x v="44"/>
    <x v="4"/>
    <x v="0"/>
    <n v="5400"/>
  </r>
  <r>
    <x v="45"/>
    <x v="2"/>
    <x v="2"/>
    <n v="2500"/>
  </r>
  <r>
    <x v="46"/>
    <x v="5"/>
    <x v="1"/>
    <n v="1200"/>
  </r>
  <r>
    <x v="47"/>
    <x v="1"/>
    <x v="2"/>
    <n v="2500"/>
  </r>
  <r>
    <x v="48"/>
    <x v="4"/>
    <x v="0"/>
    <n v="5400"/>
  </r>
  <r>
    <x v="48"/>
    <x v="2"/>
    <x v="0"/>
    <n v="5400"/>
  </r>
  <r>
    <x v="49"/>
    <x v="0"/>
    <x v="5"/>
    <n v="3200"/>
  </r>
  <r>
    <x v="50"/>
    <x v="1"/>
    <x v="3"/>
    <n v="8000"/>
  </r>
  <r>
    <x v="50"/>
    <x v="1"/>
    <x v="5"/>
    <n v="3200"/>
  </r>
  <r>
    <x v="50"/>
    <x v="1"/>
    <x v="1"/>
    <n v="1200"/>
  </r>
  <r>
    <x v="50"/>
    <x v="1"/>
    <x v="1"/>
    <n v="1200"/>
  </r>
  <r>
    <x v="51"/>
    <x v="4"/>
    <x v="0"/>
    <n v="5400"/>
  </r>
  <r>
    <x v="51"/>
    <x v="1"/>
    <x v="2"/>
    <n v="2500"/>
  </r>
  <r>
    <x v="51"/>
    <x v="2"/>
    <x v="3"/>
    <n v="8000"/>
  </r>
  <r>
    <x v="51"/>
    <x v="5"/>
    <x v="0"/>
    <n v="5400"/>
  </r>
  <r>
    <x v="52"/>
    <x v="1"/>
    <x v="0"/>
    <n v="5400"/>
  </r>
  <r>
    <x v="53"/>
    <x v="5"/>
    <x v="1"/>
    <n v="1200"/>
  </r>
  <r>
    <x v="54"/>
    <x v="0"/>
    <x v="0"/>
    <n v="5400"/>
  </r>
  <r>
    <x v="55"/>
    <x v="3"/>
    <x v="0"/>
    <n v="5400"/>
  </r>
  <r>
    <x v="55"/>
    <x v="1"/>
    <x v="4"/>
    <n v="600"/>
  </r>
  <r>
    <x v="55"/>
    <x v="4"/>
    <x v="4"/>
    <n v="600"/>
  </r>
  <r>
    <x v="55"/>
    <x v="3"/>
    <x v="1"/>
    <n v="1200"/>
  </r>
  <r>
    <x v="56"/>
    <x v="1"/>
    <x v="0"/>
    <n v="5400"/>
  </r>
  <r>
    <x v="57"/>
    <x v="5"/>
    <x v="0"/>
    <n v="5400"/>
  </r>
  <r>
    <x v="57"/>
    <x v="0"/>
    <x v="1"/>
    <n v="1200"/>
  </r>
  <r>
    <x v="58"/>
    <x v="1"/>
    <x v="0"/>
    <n v="5400"/>
  </r>
  <r>
    <x v="58"/>
    <x v="5"/>
    <x v="1"/>
    <n v="1200"/>
  </r>
  <r>
    <x v="59"/>
    <x v="2"/>
    <x v="2"/>
    <n v="2500"/>
  </r>
  <r>
    <x v="59"/>
    <x v="0"/>
    <x v="3"/>
    <n v="8000"/>
  </r>
  <r>
    <x v="60"/>
    <x v="1"/>
    <x v="1"/>
    <n v="1200"/>
  </r>
  <r>
    <x v="60"/>
    <x v="1"/>
    <x v="5"/>
    <n v="3200"/>
  </r>
  <r>
    <x v="60"/>
    <x v="5"/>
    <x v="3"/>
    <n v="8000"/>
  </r>
  <r>
    <x v="60"/>
    <x v="5"/>
    <x v="4"/>
    <n v="600"/>
  </r>
  <r>
    <x v="61"/>
    <x v="3"/>
    <x v="2"/>
    <n v="1200"/>
  </r>
  <r>
    <x v="61"/>
    <x v="1"/>
    <x v="2"/>
    <n v="2500"/>
  </r>
  <r>
    <x v="62"/>
    <x v="3"/>
    <x v="1"/>
    <n v="1200"/>
  </r>
  <r>
    <x v="63"/>
    <x v="2"/>
    <x v="0"/>
    <n v="5400"/>
  </r>
  <r>
    <x v="63"/>
    <x v="3"/>
    <x v="0"/>
    <n v="5400"/>
  </r>
  <r>
    <x v="63"/>
    <x v="3"/>
    <x v="2"/>
    <n v="600"/>
  </r>
  <r>
    <x v="64"/>
    <x v="5"/>
    <x v="1"/>
    <n v="1200"/>
  </r>
  <r>
    <x v="64"/>
    <x v="5"/>
    <x v="1"/>
    <n v="1200"/>
  </r>
  <r>
    <x v="65"/>
    <x v="4"/>
    <x v="3"/>
    <n v="8000"/>
  </r>
  <r>
    <x v="65"/>
    <x v="4"/>
    <x v="3"/>
    <n v="8000"/>
  </r>
  <r>
    <x v="66"/>
    <x v="2"/>
    <x v="5"/>
    <n v="3200"/>
  </r>
  <r>
    <x v="66"/>
    <x v="0"/>
    <x v="4"/>
    <n v="600"/>
  </r>
  <r>
    <x v="66"/>
    <x v="0"/>
    <x v="4"/>
    <n v="600"/>
  </r>
  <r>
    <x v="66"/>
    <x v="1"/>
    <x v="4"/>
    <n v="600"/>
  </r>
  <r>
    <x v="66"/>
    <x v="5"/>
    <x v="2"/>
    <n v="2500"/>
  </r>
  <r>
    <x v="67"/>
    <x v="1"/>
    <x v="1"/>
    <n v="1200"/>
  </r>
  <r>
    <x v="68"/>
    <x v="4"/>
    <x v="1"/>
    <n v="1200"/>
  </r>
  <r>
    <x v="68"/>
    <x v="3"/>
    <x v="2"/>
    <n v="2500"/>
  </r>
  <r>
    <x v="68"/>
    <x v="0"/>
    <x v="0"/>
    <n v="5400"/>
  </r>
  <r>
    <x v="69"/>
    <x v="1"/>
    <x v="4"/>
    <n v="600"/>
  </r>
  <r>
    <x v="70"/>
    <x v="3"/>
    <x v="4"/>
    <n v="600"/>
  </r>
  <r>
    <x v="71"/>
    <x v="1"/>
    <x v="1"/>
    <n v="1200"/>
  </r>
  <r>
    <x v="71"/>
    <x v="0"/>
    <x v="3"/>
    <n v="8000"/>
  </r>
  <r>
    <x v="72"/>
    <x v="5"/>
    <x v="0"/>
    <n v="5400"/>
  </r>
  <r>
    <x v="72"/>
    <x v="1"/>
    <x v="0"/>
    <n v="5400"/>
  </r>
  <r>
    <x v="73"/>
    <x v="3"/>
    <x v="4"/>
    <n v="600"/>
  </r>
  <r>
    <x v="73"/>
    <x v="0"/>
    <x v="4"/>
    <n v="600"/>
  </r>
  <r>
    <x v="73"/>
    <x v="2"/>
    <x v="5"/>
    <n v="3200"/>
  </r>
  <r>
    <x v="73"/>
    <x v="5"/>
    <x v="2"/>
    <n v="2500"/>
  </r>
  <r>
    <x v="74"/>
    <x v="3"/>
    <x v="0"/>
    <n v="5400"/>
  </r>
  <r>
    <x v="74"/>
    <x v="2"/>
    <x v="0"/>
    <n v="5400"/>
  </r>
  <r>
    <x v="74"/>
    <x v="3"/>
    <x v="0"/>
    <n v="5400"/>
  </r>
  <r>
    <x v="75"/>
    <x v="2"/>
    <x v="1"/>
    <n v="1200"/>
  </r>
  <r>
    <x v="76"/>
    <x v="0"/>
    <x v="3"/>
    <n v="8000"/>
  </r>
  <r>
    <x v="76"/>
    <x v="1"/>
    <x v="5"/>
    <n v="3200"/>
  </r>
  <r>
    <x v="76"/>
    <x v="5"/>
    <x v="2"/>
    <n v="2500"/>
  </r>
  <r>
    <x v="76"/>
    <x v="4"/>
    <x v="0"/>
    <n v="5400"/>
  </r>
  <r>
    <x v="77"/>
    <x v="3"/>
    <x v="4"/>
    <n v="600"/>
  </r>
  <r>
    <x v="78"/>
    <x v="4"/>
    <x v="4"/>
    <n v="600"/>
  </r>
  <r>
    <x v="78"/>
    <x v="4"/>
    <x v="2"/>
    <n v="2500"/>
  </r>
  <r>
    <x v="79"/>
    <x v="0"/>
    <x v="5"/>
    <n v="3200"/>
  </r>
  <r>
    <x v="79"/>
    <x v="4"/>
    <x v="1"/>
    <n v="1200"/>
  </r>
  <r>
    <x v="80"/>
    <x v="5"/>
    <x v="5"/>
    <n v="3200"/>
  </r>
  <r>
    <x v="80"/>
    <x v="0"/>
    <x v="3"/>
    <n v="8000"/>
  </r>
  <r>
    <x v="81"/>
    <x v="2"/>
    <x v="1"/>
    <n v="1200"/>
  </r>
  <r>
    <x v="81"/>
    <x v="4"/>
    <x v="5"/>
    <n v="3200"/>
  </r>
  <r>
    <x v="81"/>
    <x v="4"/>
    <x v="4"/>
    <n v="600"/>
  </r>
  <r>
    <x v="82"/>
    <x v="3"/>
    <x v="2"/>
    <n v="2500"/>
  </r>
  <r>
    <x v="82"/>
    <x v="5"/>
    <x v="4"/>
    <n v="600"/>
  </r>
  <r>
    <x v="83"/>
    <x v="4"/>
    <x v="2"/>
    <n v="2500"/>
  </r>
  <r>
    <x v="83"/>
    <x v="2"/>
    <x v="4"/>
    <n v="600"/>
  </r>
  <r>
    <x v="83"/>
    <x v="3"/>
    <x v="1"/>
    <n v="1200"/>
  </r>
  <r>
    <x v="83"/>
    <x v="0"/>
    <x v="3"/>
    <n v="8000"/>
  </r>
  <r>
    <x v="84"/>
    <x v="2"/>
    <x v="2"/>
    <n v="2500"/>
  </r>
  <r>
    <x v="84"/>
    <x v="1"/>
    <x v="1"/>
    <n v="1200"/>
  </r>
  <r>
    <x v="85"/>
    <x v="5"/>
    <x v="5"/>
    <n v="3200"/>
  </r>
  <r>
    <x v="85"/>
    <x v="0"/>
    <x v="0"/>
    <n v="5400"/>
  </r>
  <r>
    <x v="86"/>
    <x v="1"/>
    <x v="0"/>
    <n v="5400"/>
  </r>
  <r>
    <x v="86"/>
    <x v="1"/>
    <x v="4"/>
    <n v="600"/>
  </r>
  <r>
    <x v="87"/>
    <x v="0"/>
    <x v="0"/>
    <n v="5400"/>
  </r>
  <r>
    <x v="88"/>
    <x v="3"/>
    <x v="0"/>
    <n v="5400"/>
  </r>
  <r>
    <x v="88"/>
    <x v="1"/>
    <x v="1"/>
    <n v="1200"/>
  </r>
  <r>
    <x v="88"/>
    <x v="0"/>
    <x v="0"/>
    <n v="5400"/>
  </r>
  <r>
    <x v="89"/>
    <x v="3"/>
    <x v="2"/>
    <n v="2500"/>
  </r>
  <r>
    <x v="90"/>
    <x v="0"/>
    <x v="0"/>
    <n v="5400"/>
  </r>
  <r>
    <x v="90"/>
    <x v="2"/>
    <x v="2"/>
    <n v="2500"/>
  </r>
  <r>
    <x v="90"/>
    <x v="4"/>
    <x v="0"/>
    <n v="5400"/>
  </r>
  <r>
    <x v="90"/>
    <x v="5"/>
    <x v="5"/>
    <n v="3200"/>
  </r>
  <r>
    <x v="91"/>
    <x v="5"/>
    <x v="1"/>
    <n v="1200"/>
  </r>
  <r>
    <x v="91"/>
    <x v="2"/>
    <x v="5"/>
    <n v="3200"/>
  </r>
  <r>
    <x v="91"/>
    <x v="5"/>
    <x v="3"/>
    <n v="8000"/>
  </r>
  <r>
    <x v="92"/>
    <x v="1"/>
    <x v="3"/>
    <n v="8000"/>
  </r>
  <r>
    <x v="92"/>
    <x v="1"/>
    <x v="0"/>
    <n v="5400"/>
  </r>
  <r>
    <x v="93"/>
    <x v="2"/>
    <x v="4"/>
    <n v="600"/>
  </r>
  <r>
    <x v="94"/>
    <x v="0"/>
    <x v="0"/>
    <n v="5400"/>
  </r>
  <r>
    <x v="94"/>
    <x v="2"/>
    <x v="4"/>
    <n v="600"/>
  </r>
  <r>
    <x v="94"/>
    <x v="1"/>
    <x v="2"/>
    <n v="2500"/>
  </r>
  <r>
    <x v="95"/>
    <x v="3"/>
    <x v="0"/>
    <n v="5400"/>
  </r>
  <r>
    <x v="96"/>
    <x v="2"/>
    <x v="1"/>
    <n v="1200"/>
  </r>
  <r>
    <x v="96"/>
    <x v="1"/>
    <x v="1"/>
    <n v="1200"/>
  </r>
  <r>
    <x v="97"/>
    <x v="4"/>
    <x v="0"/>
    <n v="5400"/>
  </r>
  <r>
    <x v="97"/>
    <x v="1"/>
    <x v="2"/>
    <n v="2500"/>
  </r>
  <r>
    <x v="98"/>
    <x v="0"/>
    <x v="3"/>
    <n v="8000"/>
  </r>
  <r>
    <x v="99"/>
    <x v="4"/>
    <x v="1"/>
    <n v="1200"/>
  </r>
  <r>
    <x v="100"/>
    <x v="1"/>
    <x v="0"/>
    <n v="5400"/>
  </r>
  <r>
    <x v="101"/>
    <x v="1"/>
    <x v="0"/>
    <n v="5400"/>
  </r>
  <r>
    <x v="101"/>
    <x v="2"/>
    <x v="4"/>
    <n v="600"/>
  </r>
  <r>
    <x v="102"/>
    <x v="0"/>
    <x v="4"/>
    <n v="600"/>
  </r>
  <r>
    <x v="102"/>
    <x v="3"/>
    <x v="2"/>
    <n v="2500"/>
  </r>
  <r>
    <x v="103"/>
    <x v="4"/>
    <x v="0"/>
    <n v="5400"/>
  </r>
  <r>
    <x v="103"/>
    <x v="0"/>
    <x v="0"/>
    <n v="5400"/>
  </r>
  <r>
    <x v="104"/>
    <x v="1"/>
    <x v="1"/>
    <n v="1200"/>
  </r>
  <r>
    <x v="104"/>
    <x v="0"/>
    <x v="0"/>
    <n v="5400"/>
  </r>
  <r>
    <x v="104"/>
    <x v="0"/>
    <x v="4"/>
    <n v="600"/>
  </r>
  <r>
    <x v="105"/>
    <x v="3"/>
    <x v="3"/>
    <n v="8000"/>
  </r>
  <r>
    <x v="106"/>
    <x v="2"/>
    <x v="2"/>
    <n v="2500"/>
  </r>
  <r>
    <x v="106"/>
    <x v="5"/>
    <x v="5"/>
    <n v="3200"/>
  </r>
  <r>
    <x v="107"/>
    <x v="0"/>
    <x v="0"/>
    <n v="5400"/>
  </r>
  <r>
    <x v="107"/>
    <x v="4"/>
    <x v="0"/>
    <n v="5400"/>
  </r>
  <r>
    <x v="107"/>
    <x v="1"/>
    <x v="0"/>
    <n v="5400"/>
  </r>
  <r>
    <x v="107"/>
    <x v="1"/>
    <x v="2"/>
    <n v="2500"/>
  </r>
  <r>
    <x v="108"/>
    <x v="4"/>
    <x v="0"/>
    <n v="5400"/>
  </r>
  <r>
    <x v="109"/>
    <x v="2"/>
    <x v="1"/>
    <n v="1200"/>
  </r>
  <r>
    <x v="109"/>
    <x v="1"/>
    <x v="1"/>
    <n v="1200"/>
  </r>
  <r>
    <x v="110"/>
    <x v="2"/>
    <x v="3"/>
    <n v="8000"/>
  </r>
  <r>
    <x v="110"/>
    <x v="2"/>
    <x v="1"/>
    <n v="1200"/>
  </r>
  <r>
    <x v="111"/>
    <x v="2"/>
    <x v="4"/>
    <n v="600"/>
  </r>
  <r>
    <x v="111"/>
    <x v="3"/>
    <x v="1"/>
    <n v="1200"/>
  </r>
  <r>
    <x v="112"/>
    <x v="1"/>
    <x v="1"/>
    <n v="1200"/>
  </r>
  <r>
    <x v="112"/>
    <x v="1"/>
    <x v="0"/>
    <n v="5400"/>
  </r>
  <r>
    <x v="112"/>
    <x v="3"/>
    <x v="5"/>
    <n v="3200"/>
  </r>
  <r>
    <x v="113"/>
    <x v="4"/>
    <x v="1"/>
    <n v="1200"/>
  </r>
  <r>
    <x v="114"/>
    <x v="0"/>
    <x v="4"/>
    <n v="600"/>
  </r>
  <r>
    <x v="114"/>
    <x v="5"/>
    <x v="1"/>
    <n v="1200"/>
  </r>
  <r>
    <x v="115"/>
    <x v="5"/>
    <x v="2"/>
    <n v="2500"/>
  </r>
  <r>
    <x v="115"/>
    <x v="3"/>
    <x v="0"/>
    <n v="5400"/>
  </r>
  <r>
    <x v="116"/>
    <x v="5"/>
    <x v="0"/>
    <n v="5400"/>
  </r>
  <r>
    <x v="116"/>
    <x v="5"/>
    <x v="3"/>
    <n v="8000"/>
  </r>
  <r>
    <x v="117"/>
    <x v="1"/>
    <x v="1"/>
    <n v="1200"/>
  </r>
  <r>
    <x v="118"/>
    <x v="3"/>
    <x v="4"/>
    <n v="600"/>
  </r>
  <r>
    <x v="118"/>
    <x v="4"/>
    <x v="3"/>
    <n v="8000"/>
  </r>
  <r>
    <x v="119"/>
    <x v="2"/>
    <x v="1"/>
    <n v="1200"/>
  </r>
  <r>
    <x v="119"/>
    <x v="5"/>
    <x v="5"/>
    <n v="3200"/>
  </r>
  <r>
    <x v="119"/>
    <x v="1"/>
    <x v="2"/>
    <n v="2500"/>
  </r>
  <r>
    <x v="119"/>
    <x v="1"/>
    <x v="5"/>
    <n v="3200"/>
  </r>
  <r>
    <x v="120"/>
    <x v="0"/>
    <x v="1"/>
    <n v="1200"/>
  </r>
  <r>
    <x v="120"/>
    <x v="0"/>
    <x v="3"/>
    <n v="8000"/>
  </r>
  <r>
    <x v="121"/>
    <x v="3"/>
    <x v="0"/>
    <n v="5400"/>
  </r>
  <r>
    <x v="121"/>
    <x v="0"/>
    <x v="0"/>
    <n v="5400"/>
  </r>
  <r>
    <x v="122"/>
    <x v="3"/>
    <x v="0"/>
    <n v="5400"/>
  </r>
  <r>
    <x v="122"/>
    <x v="3"/>
    <x v="1"/>
    <n v="1200"/>
  </r>
  <r>
    <x v="122"/>
    <x v="0"/>
    <x v="0"/>
    <n v="5400"/>
  </r>
  <r>
    <x v="123"/>
    <x v="2"/>
    <x v="2"/>
    <n v="2500"/>
  </r>
  <r>
    <x v="123"/>
    <x v="5"/>
    <x v="0"/>
    <n v="5400"/>
  </r>
  <r>
    <x v="123"/>
    <x v="5"/>
    <x v="2"/>
    <n v="2500"/>
  </r>
  <r>
    <x v="123"/>
    <x v="5"/>
    <x v="3"/>
    <n v="8000"/>
  </r>
  <r>
    <x v="124"/>
    <x v="3"/>
    <x v="0"/>
    <n v="5400"/>
  </r>
  <r>
    <x v="124"/>
    <x v="2"/>
    <x v="1"/>
    <n v="1200"/>
  </r>
  <r>
    <x v="124"/>
    <x v="3"/>
    <x v="5"/>
    <n v="3200"/>
  </r>
  <r>
    <x v="125"/>
    <x v="4"/>
    <x v="0"/>
    <n v="5400"/>
  </r>
  <r>
    <x v="126"/>
    <x v="1"/>
    <x v="5"/>
    <n v="3200"/>
  </r>
  <r>
    <x v="126"/>
    <x v="2"/>
    <x v="2"/>
    <n v="2500"/>
  </r>
  <r>
    <x v="126"/>
    <x v="3"/>
    <x v="0"/>
    <n v="5400"/>
  </r>
  <r>
    <x v="126"/>
    <x v="0"/>
    <x v="2"/>
    <n v="2500"/>
  </r>
  <r>
    <x v="126"/>
    <x v="3"/>
    <x v="1"/>
    <n v="1200"/>
  </r>
  <r>
    <x v="127"/>
    <x v="3"/>
    <x v="3"/>
    <n v="8000"/>
  </r>
  <r>
    <x v="127"/>
    <x v="0"/>
    <x v="1"/>
    <n v="1200"/>
  </r>
  <r>
    <x v="128"/>
    <x v="2"/>
    <x v="2"/>
    <n v="2500"/>
  </r>
  <r>
    <x v="129"/>
    <x v="5"/>
    <x v="4"/>
    <n v="600"/>
  </r>
  <r>
    <x v="130"/>
    <x v="4"/>
    <x v="2"/>
    <n v="2500"/>
  </r>
  <r>
    <x v="131"/>
    <x v="0"/>
    <x v="4"/>
    <n v="600"/>
  </r>
  <r>
    <x v="132"/>
    <x v="5"/>
    <x v="4"/>
    <n v="600"/>
  </r>
  <r>
    <x v="132"/>
    <x v="3"/>
    <x v="0"/>
    <n v="5400"/>
  </r>
  <r>
    <x v="133"/>
    <x v="3"/>
    <x v="2"/>
    <n v="2500"/>
  </r>
  <r>
    <x v="134"/>
    <x v="5"/>
    <x v="5"/>
    <n v="3200"/>
  </r>
  <r>
    <x v="135"/>
    <x v="5"/>
    <x v="1"/>
    <n v="1200"/>
  </r>
  <r>
    <x v="135"/>
    <x v="5"/>
    <x v="4"/>
    <n v="600"/>
  </r>
  <r>
    <x v="135"/>
    <x v="2"/>
    <x v="4"/>
    <n v="600"/>
  </r>
  <r>
    <x v="135"/>
    <x v="0"/>
    <x v="3"/>
    <n v="8000"/>
  </r>
  <r>
    <x v="136"/>
    <x v="0"/>
    <x v="2"/>
    <n v="2500"/>
  </r>
  <r>
    <x v="136"/>
    <x v="3"/>
    <x v="2"/>
    <n v="2500"/>
  </r>
  <r>
    <x v="137"/>
    <x v="1"/>
    <x v="1"/>
    <n v="1200"/>
  </r>
  <r>
    <x v="137"/>
    <x v="5"/>
    <x v="3"/>
    <n v="8000"/>
  </r>
  <r>
    <x v="138"/>
    <x v="1"/>
    <x v="2"/>
    <n v="2500"/>
  </r>
  <r>
    <x v="138"/>
    <x v="2"/>
    <x v="4"/>
    <n v="600"/>
  </r>
  <r>
    <x v="139"/>
    <x v="0"/>
    <x v="0"/>
    <n v="5400"/>
  </r>
  <r>
    <x v="139"/>
    <x v="2"/>
    <x v="0"/>
    <n v="5400"/>
  </r>
  <r>
    <x v="140"/>
    <x v="1"/>
    <x v="3"/>
    <n v="8000"/>
  </r>
  <r>
    <x v="140"/>
    <x v="1"/>
    <x v="1"/>
    <n v="1200"/>
  </r>
  <r>
    <x v="140"/>
    <x v="2"/>
    <x v="4"/>
    <n v="600"/>
  </r>
  <r>
    <x v="140"/>
    <x v="5"/>
    <x v="5"/>
    <n v="3200"/>
  </r>
  <r>
    <x v="141"/>
    <x v="3"/>
    <x v="5"/>
    <n v="3200"/>
  </r>
  <r>
    <x v="141"/>
    <x v="3"/>
    <x v="4"/>
    <n v="600"/>
  </r>
  <r>
    <x v="141"/>
    <x v="1"/>
    <x v="3"/>
    <n v="8000"/>
  </r>
  <r>
    <x v="142"/>
    <x v="0"/>
    <x v="4"/>
    <n v="600"/>
  </r>
  <r>
    <x v="142"/>
    <x v="2"/>
    <x v="5"/>
    <n v="3200"/>
  </r>
  <r>
    <x v="142"/>
    <x v="1"/>
    <x v="0"/>
    <n v="5400"/>
  </r>
  <r>
    <x v="143"/>
    <x v="2"/>
    <x v="0"/>
    <n v="5400"/>
  </r>
  <r>
    <x v="143"/>
    <x v="5"/>
    <x v="0"/>
    <n v="5400"/>
  </r>
  <r>
    <x v="144"/>
    <x v="4"/>
    <x v="4"/>
    <n v="600"/>
  </r>
  <r>
    <x v="144"/>
    <x v="0"/>
    <x v="5"/>
    <n v="3200"/>
  </r>
  <r>
    <x v="145"/>
    <x v="5"/>
    <x v="0"/>
    <n v="5400"/>
  </r>
  <r>
    <x v="146"/>
    <x v="3"/>
    <x v="1"/>
    <n v="1200"/>
  </r>
  <r>
    <x v="146"/>
    <x v="2"/>
    <x v="2"/>
    <n v="2500"/>
  </r>
  <r>
    <x v="146"/>
    <x v="5"/>
    <x v="0"/>
    <n v="5400"/>
  </r>
  <r>
    <x v="146"/>
    <x v="1"/>
    <x v="2"/>
    <n v="2500"/>
  </r>
  <r>
    <x v="147"/>
    <x v="2"/>
    <x v="5"/>
    <n v="3200"/>
  </r>
  <r>
    <x v="148"/>
    <x v="1"/>
    <x v="1"/>
    <n v="1200"/>
  </r>
  <r>
    <x v="148"/>
    <x v="3"/>
    <x v="2"/>
    <n v="2500"/>
  </r>
  <r>
    <x v="148"/>
    <x v="4"/>
    <x v="1"/>
    <n v="1200"/>
  </r>
  <r>
    <x v="148"/>
    <x v="0"/>
    <x v="2"/>
    <n v="2500"/>
  </r>
  <r>
    <x v="148"/>
    <x v="1"/>
    <x v="4"/>
    <n v="600"/>
  </r>
  <r>
    <x v="148"/>
    <x v="4"/>
    <x v="4"/>
    <n v="600"/>
  </r>
  <r>
    <x v="149"/>
    <x v="5"/>
    <x v="1"/>
    <n v="1200"/>
  </r>
  <r>
    <x v="149"/>
    <x v="2"/>
    <x v="4"/>
    <n v="600"/>
  </r>
  <r>
    <x v="149"/>
    <x v="3"/>
    <x v="0"/>
    <n v="5400"/>
  </r>
  <r>
    <x v="150"/>
    <x v="0"/>
    <x v="3"/>
    <n v="8000"/>
  </r>
  <r>
    <x v="150"/>
    <x v="5"/>
    <x v="4"/>
    <n v="600"/>
  </r>
  <r>
    <x v="151"/>
    <x v="1"/>
    <x v="0"/>
    <n v="5400"/>
  </r>
  <r>
    <x v="152"/>
    <x v="1"/>
    <x v="1"/>
    <n v="1200"/>
  </r>
  <r>
    <x v="153"/>
    <x v="0"/>
    <x v="0"/>
    <n v="5400"/>
  </r>
  <r>
    <x v="154"/>
    <x v="3"/>
    <x v="4"/>
    <n v="600"/>
  </r>
  <r>
    <x v="155"/>
    <x v="2"/>
    <x v="0"/>
    <n v="5400"/>
  </r>
  <r>
    <x v="156"/>
    <x v="5"/>
    <x v="3"/>
    <n v="8000"/>
  </r>
  <r>
    <x v="156"/>
    <x v="4"/>
    <x v="0"/>
    <n v="5400"/>
  </r>
  <r>
    <x v="156"/>
    <x v="2"/>
    <x v="5"/>
    <n v="3200"/>
  </r>
  <r>
    <x v="156"/>
    <x v="2"/>
    <x v="0"/>
    <n v="5400"/>
  </r>
  <r>
    <x v="157"/>
    <x v="2"/>
    <x v="0"/>
    <n v="5400"/>
  </r>
  <r>
    <x v="157"/>
    <x v="3"/>
    <x v="0"/>
    <n v="5400"/>
  </r>
  <r>
    <x v="157"/>
    <x v="1"/>
    <x v="0"/>
    <n v="5400"/>
  </r>
  <r>
    <x v="157"/>
    <x v="0"/>
    <x v="2"/>
    <n v="2500"/>
  </r>
  <r>
    <x v="157"/>
    <x v="0"/>
    <x v="3"/>
    <n v="8000"/>
  </r>
  <r>
    <x v="158"/>
    <x v="2"/>
    <x v="0"/>
    <n v="5400"/>
  </r>
  <r>
    <x v="158"/>
    <x v="0"/>
    <x v="0"/>
    <n v="5400"/>
  </r>
  <r>
    <x v="158"/>
    <x v="1"/>
    <x v="0"/>
    <n v="5400"/>
  </r>
  <r>
    <x v="158"/>
    <x v="1"/>
    <x v="3"/>
    <n v="8000"/>
  </r>
  <r>
    <x v="159"/>
    <x v="1"/>
    <x v="0"/>
    <n v="5400"/>
  </r>
  <r>
    <x v="159"/>
    <x v="1"/>
    <x v="2"/>
    <n v="2500"/>
  </r>
  <r>
    <x v="160"/>
    <x v="4"/>
    <x v="2"/>
    <n v="2500"/>
  </r>
  <r>
    <x v="161"/>
    <x v="5"/>
    <x v="4"/>
    <n v="600"/>
  </r>
  <r>
    <x v="161"/>
    <x v="0"/>
    <x v="5"/>
    <n v="3200"/>
  </r>
  <r>
    <x v="162"/>
    <x v="2"/>
    <x v="5"/>
    <n v="3200"/>
  </r>
  <r>
    <x v="162"/>
    <x v="3"/>
    <x v="0"/>
    <n v="5400"/>
  </r>
  <r>
    <x v="163"/>
    <x v="0"/>
    <x v="0"/>
    <n v="5400"/>
  </r>
  <r>
    <x v="163"/>
    <x v="1"/>
    <x v="0"/>
    <n v="5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47FE05-A90B-4AAE-A9CB-B4CC60780713}" name="Qty Vendas x Mes" cacheId="0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 chartFormat="8" rowHeaderCaption="Mês">
  <location ref="G15:I22" firstHeaderRow="0" firstDataRow="1" firstDataCol="1"/>
  <pivotFields count="6">
    <pivotField numFmtId="14" showAll="0">
      <items count="1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t="default"/>
      </items>
    </pivotField>
    <pivotField showAll="0">
      <items count="7">
        <item x="1"/>
        <item x="3"/>
        <item x="5"/>
        <item x="0"/>
        <item x="2"/>
        <item x="4"/>
        <item t="default"/>
      </items>
    </pivotField>
    <pivotField dataField="1" showAll="0">
      <items count="7">
        <item x="1"/>
        <item x="2"/>
        <item x="0"/>
        <item x="5"/>
        <item x="3"/>
        <item x="4"/>
        <item t="default"/>
      </items>
    </pivotField>
    <pivotField numFmtId="16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-2"/>
  </colFields>
  <colItems count="2">
    <i>
      <x/>
    </i>
    <i i="1">
      <x v="1"/>
    </i>
  </colItems>
  <dataFields count="2">
    <dataField name="Qtd Vendas" fld="2" subtotal="count" baseField="0" baseItem="0"/>
    <dataField name="Cópia Contagem de Produto" fld="2" subtotal="count" baseField="0" baseItem="0"/>
  </dataFields>
  <chartFormats count="9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1"/>
          </reference>
          <reference field="5" count="1" selected="0">
            <x v="3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1"/>
          </reference>
          <reference field="5" count="1" selected="0">
            <x v="2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1"/>
          </reference>
          <reference field="5" count="1" selected="0">
            <x v="4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1"/>
          </reference>
          <reference field="5" count="1" selected="0">
            <x v="5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1"/>
          </reference>
          <reference field="5" count="1" selected="0">
            <x v="6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1"/>
          </reference>
          <reference field="5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99DD47-15A0-4637-A005-6E0A607A5F0E}" name="Qty Vendas x Produto" cacheId="0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 chartFormat="4" rowHeaderCaption="Produto">
  <location ref="D15:E21" firstHeaderRow="1" firstDataRow="1" firstDataCol="1"/>
  <pivotFields count="6">
    <pivotField numFmtId="14" showAll="0">
      <items count="1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t="default"/>
      </items>
    </pivotField>
    <pivotField showAll="0">
      <items count="7">
        <item x="1"/>
        <item x="3"/>
        <item x="5"/>
        <item x="0"/>
        <item x="2"/>
        <item x="4"/>
        <item t="default"/>
      </items>
    </pivotField>
    <pivotField axis="axisRow" dataField="1" showAll="0" sortType="ascending">
      <items count="7">
        <item x="1"/>
        <item x="2"/>
        <item x="0"/>
        <item x="5"/>
        <item x="3"/>
        <item x="4"/>
        <item t="default"/>
      </items>
    </pivotField>
    <pivotField numFmtId="16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Qtd Produtos" fld="2" subtotal="count" baseField="0" baseItem="0"/>
  </dataField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F01641-B6C5-4364-AAF4-1B1511605A92}" name="Qty Vendas x Vendedor" cacheId="0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 chartFormat="4" rowHeaderCaption="Vendedor">
  <location ref="A15:B21" firstHeaderRow="1" firstDataRow="1" firstDataCol="1"/>
  <pivotFields count="6">
    <pivotField numFmtId="14" showAll="0">
      <items count="1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t="default"/>
      </items>
    </pivotField>
    <pivotField axis="axisRow" dataField="1" showAll="0">
      <items count="7">
        <item x="1"/>
        <item x="3"/>
        <item x="5"/>
        <item x="0"/>
        <item x="2"/>
        <item x="4"/>
        <item t="default"/>
      </items>
    </pivotField>
    <pivotField showAll="0">
      <items count="7">
        <item x="1"/>
        <item x="2"/>
        <item x="0"/>
        <item x="5"/>
        <item x="3"/>
        <item x="4"/>
        <item t="default"/>
      </items>
    </pivotField>
    <pivotField numFmtId="16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Qtd Vendas" fld="1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4F244A-F3B4-4C20-9D8E-9FA0436AB84D}" name="Faturamento x Mes" cacheId="0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 chartFormat="22" rowHeaderCaption="Mês">
  <location ref="G3:I10" firstHeaderRow="0" firstDataRow="1" firstDataCol="1"/>
  <pivotFields count="6">
    <pivotField numFmtId="14" showAll="0">
      <items count="1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t="default"/>
      </items>
    </pivotField>
    <pivotField showAll="0">
      <items count="7">
        <item x="1"/>
        <item x="3"/>
        <item x="5"/>
        <item x="0"/>
        <item x="2"/>
        <item x="4"/>
        <item t="default"/>
      </items>
    </pivotField>
    <pivotField showAll="0">
      <items count="7">
        <item x="1"/>
        <item x="2"/>
        <item x="0"/>
        <item x="5"/>
        <item x="3"/>
        <item x="4"/>
        <item t="default"/>
      </items>
    </pivotField>
    <pivotField dataField="1" numFmtId="16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-2"/>
  </colFields>
  <colItems count="2">
    <i>
      <x/>
    </i>
    <i i="1">
      <x v="1"/>
    </i>
  </colItems>
  <dataFields count="2">
    <dataField name="Faturamento" fld="3" baseField="0" baseItem="0" numFmtId="164"/>
    <dataField name="Cópia Faturamento" fld="3" baseField="0" baseItem="0" numFmtId="164"/>
  </dataFields>
  <chartFormats count="10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13" format="15">
      <pivotArea type="data" outline="0" fieldPosition="0">
        <references count="2">
          <reference field="4294967294" count="1" selected="0">
            <x v="1"/>
          </reference>
          <reference field="5" count="1" selected="0">
            <x v="2"/>
          </reference>
        </references>
      </pivotArea>
    </chartFormat>
    <chartFormat chart="13" format="16">
      <pivotArea type="data" outline="0" fieldPosition="0">
        <references count="2">
          <reference field="4294967294" count="1" selected="0">
            <x v="1"/>
          </reference>
          <reference field="5" count="1" selected="0">
            <x v="3"/>
          </reference>
        </references>
      </pivotArea>
    </chartFormat>
    <chartFormat chart="13" format="17">
      <pivotArea type="data" outline="0" fieldPosition="0">
        <references count="2">
          <reference field="4294967294" count="1" selected="0">
            <x v="1"/>
          </reference>
          <reference field="5" count="1" selected="0">
            <x v="4"/>
          </reference>
        </references>
      </pivotArea>
    </chartFormat>
    <chartFormat chart="13" format="18">
      <pivotArea type="data" outline="0" fieldPosition="0">
        <references count="2">
          <reference field="4294967294" count="1" selected="0">
            <x v="1"/>
          </reference>
          <reference field="5" count="1" selected="0">
            <x v="5"/>
          </reference>
        </references>
      </pivotArea>
    </chartFormat>
    <chartFormat chart="13" format="19">
      <pivotArea type="data" outline="0" fieldPosition="0">
        <references count="2">
          <reference field="4294967294" count="1" selected="0">
            <x v="1"/>
          </reference>
          <reference field="5" count="1" selected="0">
            <x v="6"/>
          </reference>
        </references>
      </pivotArea>
    </chartFormat>
    <chartFormat chart="13" format="20">
      <pivotArea type="data" outline="0" fieldPosition="0">
        <references count="2">
          <reference field="4294967294" count="1" selected="0">
            <x v="1"/>
          </reference>
          <reference field="5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7287A-548E-4C97-B0BE-C3830561EC0E}" name="Faturamento x Produto" cacheId="0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 chartFormat="8" rowHeaderCaption="Produto">
  <location ref="D3:E9" firstHeaderRow="1" firstDataRow="1" firstDataCol="1"/>
  <pivotFields count="6">
    <pivotField numFmtId="14" showAll="0">
      <items count="1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t="default"/>
      </items>
    </pivotField>
    <pivotField showAll="0">
      <items count="7">
        <item x="1"/>
        <item x="3"/>
        <item x="5"/>
        <item x="0"/>
        <item x="2"/>
        <item x="4"/>
        <item t="default"/>
      </items>
    </pivotField>
    <pivotField axis="axisRow" showAll="0" sortType="ascending">
      <items count="7">
        <item x="1"/>
        <item x="2"/>
        <item x="0"/>
        <item x="5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 v="5"/>
    </i>
    <i>
      <x/>
    </i>
    <i>
      <x v="3"/>
    </i>
    <i>
      <x v="1"/>
    </i>
    <i>
      <x v="4"/>
    </i>
    <i>
      <x v="2"/>
    </i>
  </rowItems>
  <colItems count="1">
    <i/>
  </colItems>
  <dataFields count="1">
    <dataField name="Faturamento" fld="3" baseField="0" baseItem="0" numFmtId="16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0246-D8D7-4359-9D59-26841B3A49F7}" name="Faturamento x Vendedor" cacheId="0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 chartFormat="8" rowHeaderCaption="Vendedor">
  <location ref="A3:B9" firstHeaderRow="1" firstDataRow="1" firstDataCol="1"/>
  <pivotFields count="6">
    <pivotField numFmtId="14" showAll="0">
      <items count="1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t="default"/>
      </items>
    </pivotField>
    <pivotField axis="axisRow" showAll="0" sortType="ascending">
      <items count="7">
        <item x="1"/>
        <item x="3"/>
        <item x="5"/>
        <item x="0"/>
        <item x="2"/>
        <item x="4"/>
        <item t="default"/>
      </items>
    </pivotField>
    <pivotField showAll="0">
      <items count="7">
        <item x="1"/>
        <item x="2"/>
        <item x="0"/>
        <item x="5"/>
        <item x="3"/>
        <item x="4"/>
        <item t="default"/>
      </items>
    </pivotField>
    <pivotField dataField="1" numFmtId="16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Faturamento" fld="3" baseField="0" baseItem="0" numFmtId="16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" xr10:uid="{71D2E52C-1724-4685-BE9D-6A42B5D237F0}" sourceName="Produto">
  <pivotTables>
    <pivotTable tabId="2" name="Faturamento x Vendedor"/>
    <pivotTable tabId="2" name="Faturamento x Mes"/>
    <pivotTable tabId="2" name="Faturamento x Produto"/>
  </pivotTables>
  <data>
    <tabular pivotCacheId="373031242">
      <items count="6">
        <i x="1" s="1"/>
        <i x="2" s="1"/>
        <i x="0" s="1"/>
        <i x="5" s="1"/>
        <i x="3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dedor1" xr10:uid="{EE299A82-A838-49E9-9BEF-D1CDC174A681}" sourceName="Vendedor">
  <pivotTables>
    <pivotTable tabId="2" name="Qty Vendas x Vendedor"/>
    <pivotTable tabId="2" name="Qty Vendas x Produto"/>
    <pivotTable tabId="2" name="Faturamento x Produto"/>
    <pivotTable tabId="2" name="Faturamento x Mes"/>
    <pivotTable tabId="2" name="Faturamento x Vendedor"/>
    <pivotTable tabId="2" name="Qty Vendas x Mes"/>
  </pivotTables>
  <data>
    <tabular pivotCacheId="373031242">
      <items count="6">
        <i x="1" s="1"/>
        <i x="3" s="1"/>
        <i x="5" s="1"/>
        <i x="0" s="1"/>
        <i x="2" s="1"/>
        <i x="4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1" xr10:uid="{297EB495-A8D1-4818-91AA-35931639FDB0}" sourceName="Produto">
  <pivotTables>
    <pivotTable tabId="2" name="Qty Vendas x Vendedor"/>
    <pivotTable tabId="2" name="Qty Vendas x Mes"/>
    <pivotTable tabId="2" name="Qty Vendas x Produto"/>
  </pivotTables>
  <data>
    <tabular pivotCacheId="373031242">
      <items count="6">
        <i x="1" s="1"/>
        <i x="2" s="1"/>
        <i x="0" s="1"/>
        <i x="5" s="1"/>
        <i x="3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to" xr10:uid="{00C3D8A9-599D-4816-8775-E6290B6C8833}" cache="SegmentaçãodeDados_Produto" caption="Produtos Faturamento" showCaption="0" style="marcos" rowHeight="241300"/>
  <slicer name="Vendedor" xr10:uid="{EEE812D7-6E63-4481-BC03-39B7AA05B5A0}" cache="SegmentaçãodeDados_Vendedor1" caption="Vendedores Faturamento" showCaption="0" style="marcos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endedor Qtd" xr10:uid="{EDFE3022-0C60-4B4B-8148-549489F95E19}" cache="SegmentaçãodeDados_Vendedor1" caption="Vendedores Qtd" showCaption="0" style="marcos" rowHeight="241300"/>
  <slicer name="Produto Qtd" xr10:uid="{F88C611C-3212-4C53-B020-461F4B182EF6}" cache="SegmentaçãodeDados_Produto1" caption="Produtos Qtd" showCaption="0" style="marcos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FEC381-36D4-4ACB-9338-6B981629C1A6}" name="Tabela1" displayName="Tabela1" ref="A1:D360" totalsRowShown="0" headerRowDxfId="4">
  <autoFilter ref="A1:D360" xr:uid="{D406A8DD-58A6-4CCB-B11F-7AE90C3A6DA2}"/>
  <tableColumns count="4">
    <tableColumn id="1" xr3:uid="{F339CD5A-622E-410C-B219-CF2E9B6DD143}" name="Data" dataDxfId="3"/>
    <tableColumn id="2" xr3:uid="{4A228EA3-42B0-4EEA-BC6F-A86D0674AB7F}" name="Vendedor" dataDxfId="2"/>
    <tableColumn id="3" xr3:uid="{AD98EE7A-2691-4E42-8113-23E0F7F4F733}" name="Produto" dataDxfId="1"/>
    <tableColumn id="4" xr3:uid="{BF9F474D-01E9-49B9-B5FF-356EEF419EC5}" name="Valor To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6A8DD-58A6-4CCB-B11F-7AE90C3A6DA2}">
  <dimension ref="A1:F360"/>
  <sheetViews>
    <sheetView showGridLines="0" zoomScale="120" zoomScaleNormal="120" workbookViewId="0">
      <selection activeCell="I16" sqref="I16"/>
    </sheetView>
  </sheetViews>
  <sheetFormatPr defaultRowHeight="15" x14ac:dyDescent="0.25"/>
  <cols>
    <col min="1" max="4" width="16.28515625" style="2" customWidth="1"/>
    <col min="5" max="6" width="9" customWidth="1"/>
  </cols>
  <sheetData>
    <row r="1" spans="1:6" x14ac:dyDescent="0.25">
      <c r="A1" s="5" t="s">
        <v>1</v>
      </c>
      <c r="B1" s="5" t="s">
        <v>0</v>
      </c>
      <c r="C1" s="5" t="s">
        <v>2</v>
      </c>
      <c r="D1" s="5" t="s">
        <v>9</v>
      </c>
    </row>
    <row r="2" spans="1:6" x14ac:dyDescent="0.25">
      <c r="A2" s="3">
        <v>44197</v>
      </c>
      <c r="B2" s="2" t="s">
        <v>5</v>
      </c>
      <c r="C2" s="2" t="s">
        <v>13</v>
      </c>
      <c r="D2" s="4">
        <v>5400</v>
      </c>
    </row>
    <row r="3" spans="1:6" x14ac:dyDescent="0.25">
      <c r="A3" s="3">
        <v>44197</v>
      </c>
      <c r="B3" s="2" t="s">
        <v>3</v>
      </c>
      <c r="C3" s="2" t="s">
        <v>15</v>
      </c>
      <c r="D3" s="4">
        <v>1200</v>
      </c>
    </row>
    <row r="4" spans="1:6" x14ac:dyDescent="0.25">
      <c r="A4" s="3">
        <v>44198</v>
      </c>
      <c r="B4" s="2" t="s">
        <v>4</v>
      </c>
      <c r="C4" s="2" t="s">
        <v>13</v>
      </c>
      <c r="D4" s="4">
        <v>5400</v>
      </c>
    </row>
    <row r="5" spans="1:6" x14ac:dyDescent="0.25">
      <c r="A5" s="3">
        <v>44198</v>
      </c>
      <c r="B5" s="2" t="s">
        <v>3</v>
      </c>
      <c r="C5" s="2" t="s">
        <v>11</v>
      </c>
      <c r="D5" s="4">
        <v>2500</v>
      </c>
    </row>
    <row r="6" spans="1:6" x14ac:dyDescent="0.25">
      <c r="A6" s="3">
        <v>44198</v>
      </c>
      <c r="B6" s="2" t="s">
        <v>4</v>
      </c>
      <c r="C6" s="2" t="s">
        <v>13</v>
      </c>
      <c r="D6" s="4">
        <v>5400</v>
      </c>
    </row>
    <row r="7" spans="1:6" x14ac:dyDescent="0.25">
      <c r="A7" s="3">
        <v>44198</v>
      </c>
      <c r="B7" s="2" t="s">
        <v>7</v>
      </c>
      <c r="C7" s="2" t="s">
        <v>12</v>
      </c>
      <c r="D7" s="4">
        <v>8000</v>
      </c>
    </row>
    <row r="8" spans="1:6" x14ac:dyDescent="0.25">
      <c r="A8" s="3">
        <v>44200</v>
      </c>
      <c r="B8" s="2" t="s">
        <v>8</v>
      </c>
      <c r="C8" s="2" t="s">
        <v>13</v>
      </c>
      <c r="D8" s="4">
        <v>5400</v>
      </c>
    </row>
    <row r="9" spans="1:6" x14ac:dyDescent="0.25">
      <c r="A9" s="3">
        <v>44200</v>
      </c>
      <c r="B9" s="2" t="s">
        <v>4</v>
      </c>
      <c r="C9" s="2" t="s">
        <v>12</v>
      </c>
      <c r="D9" s="4">
        <v>8000</v>
      </c>
    </row>
    <row r="10" spans="1:6" x14ac:dyDescent="0.25">
      <c r="A10" s="3">
        <v>44200</v>
      </c>
      <c r="B10" s="2" t="s">
        <v>4</v>
      </c>
      <c r="C10" s="2" t="s">
        <v>13</v>
      </c>
      <c r="D10" s="4">
        <v>5400</v>
      </c>
    </row>
    <row r="11" spans="1:6" x14ac:dyDescent="0.25">
      <c r="A11" s="3">
        <v>44202</v>
      </c>
      <c r="B11" s="2" t="s">
        <v>8</v>
      </c>
      <c r="C11" s="2" t="s">
        <v>11</v>
      </c>
      <c r="D11" s="4">
        <v>2500</v>
      </c>
    </row>
    <row r="12" spans="1:6" x14ac:dyDescent="0.25">
      <c r="A12" s="3">
        <v>44202</v>
      </c>
      <c r="B12" s="2" t="s">
        <v>3</v>
      </c>
      <c r="C12" s="2" t="s">
        <v>13</v>
      </c>
      <c r="D12" s="4">
        <v>5400</v>
      </c>
    </row>
    <row r="13" spans="1:6" x14ac:dyDescent="0.25">
      <c r="A13" s="3">
        <v>44203</v>
      </c>
      <c r="B13" s="2" t="s">
        <v>7</v>
      </c>
      <c r="C13" s="2" t="s">
        <v>15</v>
      </c>
      <c r="D13" s="4">
        <v>1200</v>
      </c>
      <c r="F13" s="1"/>
    </row>
    <row r="14" spans="1:6" x14ac:dyDescent="0.25">
      <c r="A14" s="3">
        <v>44203</v>
      </c>
      <c r="B14" s="2" t="s">
        <v>5</v>
      </c>
      <c r="C14" s="2" t="s">
        <v>12</v>
      </c>
      <c r="D14" s="4">
        <v>8000</v>
      </c>
      <c r="F14" s="1"/>
    </row>
    <row r="15" spans="1:6" x14ac:dyDescent="0.25">
      <c r="A15" s="3">
        <v>44205</v>
      </c>
      <c r="B15" s="2" t="s">
        <v>6</v>
      </c>
      <c r="C15" s="2" t="s">
        <v>13</v>
      </c>
      <c r="D15" s="4">
        <v>5400</v>
      </c>
    </row>
    <row r="16" spans="1:6" x14ac:dyDescent="0.25">
      <c r="A16" s="3">
        <v>44205</v>
      </c>
      <c r="B16" s="2" t="s">
        <v>6</v>
      </c>
      <c r="C16" s="2" t="s">
        <v>15</v>
      </c>
      <c r="D16" s="4">
        <v>1200</v>
      </c>
    </row>
    <row r="17" spans="1:4" x14ac:dyDescent="0.25">
      <c r="A17" s="3">
        <v>44206</v>
      </c>
      <c r="B17" s="2" t="s">
        <v>7</v>
      </c>
      <c r="C17" s="2" t="s">
        <v>10</v>
      </c>
      <c r="D17" s="4">
        <v>600</v>
      </c>
    </row>
    <row r="18" spans="1:4" x14ac:dyDescent="0.25">
      <c r="A18" s="3">
        <v>44206</v>
      </c>
      <c r="B18" s="2" t="s">
        <v>6</v>
      </c>
      <c r="C18" s="2" t="s">
        <v>11</v>
      </c>
      <c r="D18" s="4">
        <v>2500</v>
      </c>
    </row>
    <row r="19" spans="1:4" x14ac:dyDescent="0.25">
      <c r="A19" s="3">
        <v>44208</v>
      </c>
      <c r="B19" s="2" t="s">
        <v>4</v>
      </c>
      <c r="C19" s="2" t="s">
        <v>15</v>
      </c>
      <c r="D19" s="4">
        <v>1200</v>
      </c>
    </row>
    <row r="20" spans="1:4" x14ac:dyDescent="0.25">
      <c r="A20" s="3">
        <v>44209</v>
      </c>
      <c r="B20" s="2" t="s">
        <v>7</v>
      </c>
      <c r="C20" s="2" t="s">
        <v>14</v>
      </c>
      <c r="D20" s="4">
        <v>3200</v>
      </c>
    </row>
    <row r="21" spans="1:4" x14ac:dyDescent="0.25">
      <c r="A21" s="3">
        <v>44209</v>
      </c>
      <c r="B21" s="2" t="s">
        <v>6</v>
      </c>
      <c r="C21" s="2" t="s">
        <v>14</v>
      </c>
      <c r="D21" s="4">
        <v>3200</v>
      </c>
    </row>
    <row r="22" spans="1:4" x14ac:dyDescent="0.25">
      <c r="A22" s="3">
        <v>44210</v>
      </c>
      <c r="B22" s="2" t="s">
        <v>4</v>
      </c>
      <c r="C22" s="2" t="s">
        <v>14</v>
      </c>
      <c r="D22" s="4">
        <v>3200</v>
      </c>
    </row>
    <row r="23" spans="1:4" x14ac:dyDescent="0.25">
      <c r="A23" s="3">
        <v>44210</v>
      </c>
      <c r="B23" s="2" t="s">
        <v>7</v>
      </c>
      <c r="C23" s="2" t="s">
        <v>13</v>
      </c>
      <c r="D23" s="4">
        <v>5400</v>
      </c>
    </row>
    <row r="24" spans="1:4" x14ac:dyDescent="0.25">
      <c r="A24" s="3">
        <v>44210</v>
      </c>
      <c r="B24" s="2" t="s">
        <v>5</v>
      </c>
      <c r="C24" s="2" t="s">
        <v>14</v>
      </c>
      <c r="D24" s="4">
        <v>3200</v>
      </c>
    </row>
    <row r="25" spans="1:4" x14ac:dyDescent="0.25">
      <c r="A25" s="3">
        <v>44210</v>
      </c>
      <c r="B25" s="2" t="s">
        <v>8</v>
      </c>
      <c r="C25" s="2" t="s">
        <v>13</v>
      </c>
      <c r="D25" s="4">
        <v>5400</v>
      </c>
    </row>
    <row r="26" spans="1:4" x14ac:dyDescent="0.25">
      <c r="A26" s="3">
        <v>44210</v>
      </c>
      <c r="B26" s="2" t="s">
        <v>5</v>
      </c>
      <c r="C26" s="2" t="s">
        <v>12</v>
      </c>
      <c r="D26" s="4">
        <v>8000</v>
      </c>
    </row>
    <row r="27" spans="1:4" x14ac:dyDescent="0.25">
      <c r="A27" s="3">
        <v>44212</v>
      </c>
      <c r="B27" s="2" t="s">
        <v>7</v>
      </c>
      <c r="C27" s="2" t="s">
        <v>13</v>
      </c>
      <c r="D27" s="4">
        <v>5400</v>
      </c>
    </row>
    <row r="28" spans="1:4" x14ac:dyDescent="0.25">
      <c r="A28" s="3">
        <v>44214</v>
      </c>
      <c r="B28" s="2" t="s">
        <v>6</v>
      </c>
      <c r="C28" s="2" t="s">
        <v>14</v>
      </c>
      <c r="D28" s="4">
        <v>3200</v>
      </c>
    </row>
    <row r="29" spans="1:4" x14ac:dyDescent="0.25">
      <c r="A29" s="3">
        <v>44215</v>
      </c>
      <c r="B29" s="2" t="s">
        <v>8</v>
      </c>
      <c r="C29" s="2" t="s">
        <v>12</v>
      </c>
      <c r="D29" s="4">
        <v>8000</v>
      </c>
    </row>
    <row r="30" spans="1:4" x14ac:dyDescent="0.25">
      <c r="A30" s="3">
        <v>44215</v>
      </c>
      <c r="B30" s="2" t="s">
        <v>6</v>
      </c>
      <c r="C30" s="2" t="s">
        <v>13</v>
      </c>
      <c r="D30" s="4">
        <v>5400</v>
      </c>
    </row>
    <row r="31" spans="1:4" x14ac:dyDescent="0.25">
      <c r="A31" s="3">
        <v>44216</v>
      </c>
      <c r="B31" s="2" t="s">
        <v>7</v>
      </c>
      <c r="C31" s="2" t="s">
        <v>15</v>
      </c>
      <c r="D31" s="4">
        <v>1200</v>
      </c>
    </row>
    <row r="32" spans="1:4" x14ac:dyDescent="0.25">
      <c r="A32" s="3">
        <v>44216</v>
      </c>
      <c r="B32" s="2" t="s">
        <v>7</v>
      </c>
      <c r="C32" s="2" t="s">
        <v>11</v>
      </c>
      <c r="D32" s="4">
        <v>2500</v>
      </c>
    </row>
    <row r="33" spans="1:4" x14ac:dyDescent="0.25">
      <c r="A33" s="3">
        <v>44217</v>
      </c>
      <c r="B33" s="2" t="s">
        <v>3</v>
      </c>
      <c r="C33" s="2" t="s">
        <v>12</v>
      </c>
      <c r="D33" s="4">
        <v>8000</v>
      </c>
    </row>
    <row r="34" spans="1:4" x14ac:dyDescent="0.25">
      <c r="A34" s="3">
        <v>44217</v>
      </c>
      <c r="B34" s="2" t="s">
        <v>8</v>
      </c>
      <c r="C34" s="2" t="s">
        <v>14</v>
      </c>
      <c r="D34" s="4">
        <v>3200</v>
      </c>
    </row>
    <row r="35" spans="1:4" x14ac:dyDescent="0.25">
      <c r="A35" s="3">
        <v>44218</v>
      </c>
      <c r="B35" s="2" t="s">
        <v>3</v>
      </c>
      <c r="C35" s="2" t="s">
        <v>13</v>
      </c>
      <c r="D35" s="4">
        <v>5400</v>
      </c>
    </row>
    <row r="36" spans="1:4" x14ac:dyDescent="0.25">
      <c r="A36" s="3">
        <v>44218</v>
      </c>
      <c r="B36" s="2" t="s">
        <v>8</v>
      </c>
      <c r="C36" s="2" t="s">
        <v>12</v>
      </c>
      <c r="D36" s="4">
        <v>8000</v>
      </c>
    </row>
    <row r="37" spans="1:4" x14ac:dyDescent="0.25">
      <c r="A37" s="3">
        <v>44218</v>
      </c>
      <c r="B37" s="2" t="s">
        <v>4</v>
      </c>
      <c r="C37" s="2" t="s">
        <v>15</v>
      </c>
      <c r="D37" s="4">
        <v>1200</v>
      </c>
    </row>
    <row r="38" spans="1:4" x14ac:dyDescent="0.25">
      <c r="A38" s="3">
        <v>44219</v>
      </c>
      <c r="B38" s="2" t="s">
        <v>6</v>
      </c>
      <c r="C38" s="2" t="s">
        <v>11</v>
      </c>
      <c r="D38" s="4">
        <v>2500</v>
      </c>
    </row>
    <row r="39" spans="1:4" x14ac:dyDescent="0.25">
      <c r="A39" s="3">
        <v>44220</v>
      </c>
      <c r="B39" s="2" t="s">
        <v>7</v>
      </c>
      <c r="C39" s="2" t="s">
        <v>10</v>
      </c>
      <c r="D39" s="4">
        <v>600</v>
      </c>
    </row>
    <row r="40" spans="1:4" x14ac:dyDescent="0.25">
      <c r="A40" s="3">
        <v>44221</v>
      </c>
      <c r="B40" s="2" t="s">
        <v>6</v>
      </c>
      <c r="C40" s="2" t="s">
        <v>13</v>
      </c>
      <c r="D40" s="4">
        <v>5400</v>
      </c>
    </row>
    <row r="41" spans="1:4" x14ac:dyDescent="0.25">
      <c r="A41" s="3">
        <v>44221</v>
      </c>
      <c r="B41" s="2" t="s">
        <v>5</v>
      </c>
      <c r="C41" s="2" t="s">
        <v>12</v>
      </c>
      <c r="D41" s="4">
        <v>8000</v>
      </c>
    </row>
    <row r="42" spans="1:4" x14ac:dyDescent="0.25">
      <c r="A42" s="3">
        <v>44221</v>
      </c>
      <c r="B42" s="2" t="s">
        <v>8</v>
      </c>
      <c r="C42" s="2" t="s">
        <v>11</v>
      </c>
      <c r="D42" s="4">
        <v>2500</v>
      </c>
    </row>
    <row r="43" spans="1:4" x14ac:dyDescent="0.25">
      <c r="A43" s="3">
        <v>44222</v>
      </c>
      <c r="B43" s="2" t="s">
        <v>4</v>
      </c>
      <c r="C43" s="2" t="s">
        <v>11</v>
      </c>
      <c r="D43" s="4">
        <v>2500</v>
      </c>
    </row>
    <row r="44" spans="1:4" x14ac:dyDescent="0.25">
      <c r="A44" s="3">
        <v>44222</v>
      </c>
      <c r="B44" s="2" t="s">
        <v>5</v>
      </c>
      <c r="C44" s="2" t="s">
        <v>10</v>
      </c>
      <c r="D44" s="4">
        <v>600</v>
      </c>
    </row>
    <row r="45" spans="1:4" x14ac:dyDescent="0.25">
      <c r="A45" s="3">
        <v>44223</v>
      </c>
      <c r="B45" s="2" t="s">
        <v>3</v>
      </c>
      <c r="C45" s="2" t="s">
        <v>13</v>
      </c>
      <c r="D45" s="4">
        <v>5400</v>
      </c>
    </row>
    <row r="46" spans="1:4" x14ac:dyDescent="0.25">
      <c r="A46" s="3">
        <v>44223</v>
      </c>
      <c r="B46" s="2" t="s">
        <v>6</v>
      </c>
      <c r="C46" s="2" t="s">
        <v>13</v>
      </c>
      <c r="D46" s="4">
        <v>5400</v>
      </c>
    </row>
    <row r="47" spans="1:4" x14ac:dyDescent="0.25">
      <c r="A47" s="3">
        <v>44224</v>
      </c>
      <c r="B47" s="2" t="s">
        <v>8</v>
      </c>
      <c r="C47" s="2" t="s">
        <v>11</v>
      </c>
      <c r="D47" s="4">
        <v>2500</v>
      </c>
    </row>
    <row r="48" spans="1:4" x14ac:dyDescent="0.25">
      <c r="A48" s="3">
        <v>44224</v>
      </c>
      <c r="B48" s="2" t="s">
        <v>4</v>
      </c>
      <c r="C48" s="2" t="s">
        <v>10</v>
      </c>
      <c r="D48" s="4">
        <v>600</v>
      </c>
    </row>
    <row r="49" spans="1:4" x14ac:dyDescent="0.25">
      <c r="A49" s="3">
        <v>44224</v>
      </c>
      <c r="B49" s="2" t="s">
        <v>7</v>
      </c>
      <c r="C49" s="2" t="s">
        <v>12</v>
      </c>
      <c r="D49" s="4">
        <v>8000</v>
      </c>
    </row>
    <row r="50" spans="1:4" x14ac:dyDescent="0.25">
      <c r="A50" s="3">
        <v>44224</v>
      </c>
      <c r="B50" s="2" t="s">
        <v>7</v>
      </c>
      <c r="C50" s="2" t="s">
        <v>10</v>
      </c>
      <c r="D50" s="4">
        <v>600</v>
      </c>
    </row>
    <row r="51" spans="1:4" x14ac:dyDescent="0.25">
      <c r="A51" s="3">
        <v>44225</v>
      </c>
      <c r="B51" s="2" t="s">
        <v>7</v>
      </c>
      <c r="C51" s="2" t="s">
        <v>13</v>
      </c>
      <c r="D51" s="4">
        <v>5400</v>
      </c>
    </row>
    <row r="52" spans="1:4" x14ac:dyDescent="0.25">
      <c r="A52" s="3">
        <v>44227</v>
      </c>
      <c r="B52" s="2" t="s">
        <v>6</v>
      </c>
      <c r="C52" s="2" t="s">
        <v>13</v>
      </c>
      <c r="D52" s="4">
        <v>5400</v>
      </c>
    </row>
    <row r="53" spans="1:4" x14ac:dyDescent="0.25">
      <c r="A53" s="3">
        <v>44227</v>
      </c>
      <c r="B53" s="2" t="s">
        <v>7</v>
      </c>
      <c r="C53" s="2" t="s">
        <v>14</v>
      </c>
      <c r="D53" s="4">
        <v>3200</v>
      </c>
    </row>
    <row r="54" spans="1:4" x14ac:dyDescent="0.25">
      <c r="A54" s="3">
        <v>44229</v>
      </c>
      <c r="B54" s="2" t="s">
        <v>5</v>
      </c>
      <c r="C54" s="2" t="s">
        <v>12</v>
      </c>
      <c r="D54" s="4">
        <v>8000</v>
      </c>
    </row>
    <row r="55" spans="1:4" x14ac:dyDescent="0.25">
      <c r="A55" s="3">
        <v>44230</v>
      </c>
      <c r="B55" s="2" t="s">
        <v>6</v>
      </c>
      <c r="C55" s="2" t="s">
        <v>10</v>
      </c>
      <c r="D55" s="4">
        <v>600</v>
      </c>
    </row>
    <row r="56" spans="1:4" x14ac:dyDescent="0.25">
      <c r="A56" s="3">
        <v>44230</v>
      </c>
      <c r="B56" s="2" t="s">
        <v>4</v>
      </c>
      <c r="C56" s="2" t="s">
        <v>14</v>
      </c>
      <c r="D56" s="4">
        <v>3200</v>
      </c>
    </row>
    <row r="57" spans="1:4" x14ac:dyDescent="0.25">
      <c r="A57" s="3">
        <v>44231</v>
      </c>
      <c r="B57" s="2" t="s">
        <v>3</v>
      </c>
      <c r="C57" s="2" t="s">
        <v>13</v>
      </c>
      <c r="D57" s="4">
        <v>5400</v>
      </c>
    </row>
    <row r="58" spans="1:4" x14ac:dyDescent="0.25">
      <c r="A58" s="3">
        <v>44231</v>
      </c>
      <c r="B58" s="2" t="s">
        <v>6</v>
      </c>
      <c r="C58" s="2" t="s">
        <v>15</v>
      </c>
      <c r="D58" s="4">
        <v>1200</v>
      </c>
    </row>
    <row r="59" spans="1:4" x14ac:dyDescent="0.25">
      <c r="A59" s="3">
        <v>44231</v>
      </c>
      <c r="B59" s="2" t="s">
        <v>7</v>
      </c>
      <c r="C59" s="2" t="s">
        <v>15</v>
      </c>
      <c r="D59" s="4">
        <v>1200</v>
      </c>
    </row>
    <row r="60" spans="1:4" x14ac:dyDescent="0.25">
      <c r="A60" s="3">
        <v>44232</v>
      </c>
      <c r="B60" s="2" t="s">
        <v>6</v>
      </c>
      <c r="C60" s="2" t="s">
        <v>11</v>
      </c>
      <c r="D60" s="4">
        <v>2500</v>
      </c>
    </row>
    <row r="61" spans="1:4" x14ac:dyDescent="0.25">
      <c r="A61" s="3">
        <v>44232</v>
      </c>
      <c r="B61" s="2" t="s">
        <v>7</v>
      </c>
      <c r="C61" s="2" t="s">
        <v>15</v>
      </c>
      <c r="D61" s="4">
        <v>1200</v>
      </c>
    </row>
    <row r="62" spans="1:4" x14ac:dyDescent="0.25">
      <c r="A62" s="3">
        <v>44232</v>
      </c>
      <c r="B62" s="2" t="s">
        <v>5</v>
      </c>
      <c r="C62" s="2" t="s">
        <v>11</v>
      </c>
      <c r="D62" s="4">
        <v>2500</v>
      </c>
    </row>
    <row r="63" spans="1:4" x14ac:dyDescent="0.25">
      <c r="A63" s="3">
        <v>44232</v>
      </c>
      <c r="B63" s="2" t="s">
        <v>8</v>
      </c>
      <c r="C63" s="2" t="s">
        <v>13</v>
      </c>
      <c r="D63" s="4">
        <v>5400</v>
      </c>
    </row>
    <row r="64" spans="1:4" x14ac:dyDescent="0.25">
      <c r="A64" s="3">
        <v>44232</v>
      </c>
      <c r="B64" s="2" t="s">
        <v>7</v>
      </c>
      <c r="C64" s="2" t="s">
        <v>13</v>
      </c>
      <c r="D64" s="4">
        <v>5400</v>
      </c>
    </row>
    <row r="65" spans="1:4" x14ac:dyDescent="0.25">
      <c r="A65" s="3">
        <v>44232</v>
      </c>
      <c r="B65" s="2" t="s">
        <v>5</v>
      </c>
      <c r="C65" s="2" t="s">
        <v>12</v>
      </c>
      <c r="D65" s="4">
        <v>8000</v>
      </c>
    </row>
    <row r="66" spans="1:4" x14ac:dyDescent="0.25">
      <c r="A66" s="3">
        <v>44233</v>
      </c>
      <c r="B66" s="2" t="s">
        <v>4</v>
      </c>
      <c r="C66" s="2" t="s">
        <v>14</v>
      </c>
      <c r="D66" s="4">
        <v>3200</v>
      </c>
    </row>
    <row r="67" spans="1:4" x14ac:dyDescent="0.25">
      <c r="A67" s="3">
        <v>44233</v>
      </c>
      <c r="B67" s="2" t="s">
        <v>3</v>
      </c>
      <c r="C67" s="2" t="s">
        <v>13</v>
      </c>
      <c r="D67" s="4">
        <v>5400</v>
      </c>
    </row>
    <row r="68" spans="1:4" x14ac:dyDescent="0.25">
      <c r="A68" s="3">
        <v>44233</v>
      </c>
      <c r="B68" s="2" t="s">
        <v>6</v>
      </c>
      <c r="C68" s="2" t="s">
        <v>12</v>
      </c>
      <c r="D68" s="4">
        <v>8000</v>
      </c>
    </row>
    <row r="69" spans="1:4" x14ac:dyDescent="0.25">
      <c r="A69" s="3">
        <v>44234</v>
      </c>
      <c r="B69" s="2" t="s">
        <v>7</v>
      </c>
      <c r="C69" s="2" t="s">
        <v>13</v>
      </c>
      <c r="D69" s="4">
        <v>5400</v>
      </c>
    </row>
    <row r="70" spans="1:4" x14ac:dyDescent="0.25">
      <c r="A70" s="3">
        <v>44235</v>
      </c>
      <c r="B70" s="2" t="s">
        <v>3</v>
      </c>
      <c r="C70" s="2" t="s">
        <v>10</v>
      </c>
      <c r="D70" s="4">
        <v>600</v>
      </c>
    </row>
    <row r="71" spans="1:4" x14ac:dyDescent="0.25">
      <c r="A71" s="3">
        <v>44235</v>
      </c>
      <c r="B71" s="2" t="s">
        <v>6</v>
      </c>
      <c r="C71" s="2" t="s">
        <v>13</v>
      </c>
      <c r="D71" s="4">
        <v>5400</v>
      </c>
    </row>
    <row r="72" spans="1:4" x14ac:dyDescent="0.25">
      <c r="A72" s="3">
        <v>44235</v>
      </c>
      <c r="B72" s="2" t="s">
        <v>3</v>
      </c>
      <c r="C72" s="2" t="s">
        <v>13</v>
      </c>
      <c r="D72" s="4">
        <v>5400</v>
      </c>
    </row>
    <row r="73" spans="1:4" x14ac:dyDescent="0.25">
      <c r="A73" s="3">
        <v>44235</v>
      </c>
      <c r="B73" s="2" t="s">
        <v>3</v>
      </c>
      <c r="C73" s="2" t="s">
        <v>13</v>
      </c>
      <c r="D73" s="4">
        <v>5400</v>
      </c>
    </row>
    <row r="74" spans="1:4" x14ac:dyDescent="0.25">
      <c r="A74" s="3">
        <v>44236</v>
      </c>
      <c r="B74" s="2" t="s">
        <v>4</v>
      </c>
      <c r="C74" s="2" t="s">
        <v>12</v>
      </c>
      <c r="D74" s="4">
        <v>8000</v>
      </c>
    </row>
    <row r="75" spans="1:4" x14ac:dyDescent="0.25">
      <c r="A75" s="3">
        <v>44236</v>
      </c>
      <c r="B75" s="2" t="s">
        <v>7</v>
      </c>
      <c r="C75" s="2" t="s">
        <v>11</v>
      </c>
      <c r="D75" s="4">
        <v>2500</v>
      </c>
    </row>
    <row r="76" spans="1:4" x14ac:dyDescent="0.25">
      <c r="A76" s="3">
        <v>44236</v>
      </c>
      <c r="B76" s="2" t="s">
        <v>3</v>
      </c>
      <c r="C76" s="2" t="s">
        <v>14</v>
      </c>
      <c r="D76" s="4">
        <v>3200</v>
      </c>
    </row>
    <row r="77" spans="1:4" x14ac:dyDescent="0.25">
      <c r="A77" s="3">
        <v>44238</v>
      </c>
      <c r="B77" s="2" t="s">
        <v>8</v>
      </c>
      <c r="C77" s="2" t="s">
        <v>13</v>
      </c>
      <c r="D77" s="4">
        <v>5400</v>
      </c>
    </row>
    <row r="78" spans="1:4" x14ac:dyDescent="0.25">
      <c r="A78" s="3">
        <v>44239</v>
      </c>
      <c r="B78" s="2" t="s">
        <v>3</v>
      </c>
      <c r="C78" s="2" t="s">
        <v>11</v>
      </c>
      <c r="D78" s="4">
        <v>2500</v>
      </c>
    </row>
    <row r="79" spans="1:4" x14ac:dyDescent="0.25">
      <c r="A79" s="3">
        <v>44239</v>
      </c>
      <c r="B79" s="2" t="s">
        <v>5</v>
      </c>
      <c r="C79" s="2" t="s">
        <v>11</v>
      </c>
      <c r="D79" s="4">
        <v>2500</v>
      </c>
    </row>
    <row r="80" spans="1:4" x14ac:dyDescent="0.25">
      <c r="A80" s="3">
        <v>44239</v>
      </c>
      <c r="B80" s="2" t="s">
        <v>7</v>
      </c>
      <c r="C80" s="2" t="s">
        <v>11</v>
      </c>
      <c r="D80" s="4">
        <v>2500</v>
      </c>
    </row>
    <row r="81" spans="1:4" x14ac:dyDescent="0.25">
      <c r="A81" s="3">
        <v>44239</v>
      </c>
      <c r="B81" s="2" t="s">
        <v>7</v>
      </c>
      <c r="C81" s="2" t="s">
        <v>13</v>
      </c>
      <c r="D81" s="4">
        <v>5400</v>
      </c>
    </row>
    <row r="82" spans="1:4" x14ac:dyDescent="0.25">
      <c r="A82" s="3">
        <v>44239</v>
      </c>
      <c r="B82" s="2" t="s">
        <v>3</v>
      </c>
      <c r="C82" s="2" t="s">
        <v>12</v>
      </c>
      <c r="D82" s="4">
        <v>8000</v>
      </c>
    </row>
    <row r="83" spans="1:4" x14ac:dyDescent="0.25">
      <c r="A83" s="3">
        <v>44239</v>
      </c>
      <c r="B83" s="2" t="s">
        <v>5</v>
      </c>
      <c r="C83" s="2" t="s">
        <v>13</v>
      </c>
      <c r="D83" s="4">
        <v>5400</v>
      </c>
    </row>
    <row r="84" spans="1:4" x14ac:dyDescent="0.25">
      <c r="A84" s="3">
        <v>44240</v>
      </c>
      <c r="B84" s="2" t="s">
        <v>7</v>
      </c>
      <c r="C84" s="2" t="s">
        <v>10</v>
      </c>
      <c r="D84" s="4">
        <v>600</v>
      </c>
    </row>
    <row r="85" spans="1:4" x14ac:dyDescent="0.25">
      <c r="A85" s="3">
        <v>44240</v>
      </c>
      <c r="B85" s="2" t="s">
        <v>5</v>
      </c>
      <c r="C85" s="2" t="s">
        <v>14</v>
      </c>
      <c r="D85" s="4">
        <v>3200</v>
      </c>
    </row>
    <row r="86" spans="1:4" x14ac:dyDescent="0.25">
      <c r="A86" s="3">
        <v>44241</v>
      </c>
      <c r="B86" s="2" t="s">
        <v>4</v>
      </c>
      <c r="C86" s="2" t="s">
        <v>10</v>
      </c>
      <c r="D86" s="4">
        <v>600</v>
      </c>
    </row>
    <row r="87" spans="1:4" x14ac:dyDescent="0.25">
      <c r="A87" s="3">
        <v>44241</v>
      </c>
      <c r="B87" s="2" t="s">
        <v>7</v>
      </c>
      <c r="C87" s="2" t="s">
        <v>13</v>
      </c>
      <c r="D87" s="4">
        <v>5400</v>
      </c>
    </row>
    <row r="88" spans="1:4" x14ac:dyDescent="0.25">
      <c r="A88" s="3">
        <v>44242</v>
      </c>
      <c r="B88" s="2" t="s">
        <v>6</v>
      </c>
      <c r="C88" s="2" t="s">
        <v>15</v>
      </c>
      <c r="D88" s="4">
        <v>1200</v>
      </c>
    </row>
    <row r="89" spans="1:4" x14ac:dyDescent="0.25">
      <c r="A89" s="3">
        <v>44243</v>
      </c>
      <c r="B89" s="2" t="s">
        <v>8</v>
      </c>
      <c r="C89" s="2" t="s">
        <v>14</v>
      </c>
      <c r="D89" s="4">
        <v>3200</v>
      </c>
    </row>
    <row r="90" spans="1:4" x14ac:dyDescent="0.25">
      <c r="A90" s="3">
        <v>44244</v>
      </c>
      <c r="B90" s="2" t="s">
        <v>8</v>
      </c>
      <c r="C90" s="2" t="s">
        <v>15</v>
      </c>
      <c r="D90" s="4">
        <v>1200</v>
      </c>
    </row>
    <row r="91" spans="1:4" x14ac:dyDescent="0.25">
      <c r="A91" s="3">
        <v>44245</v>
      </c>
      <c r="B91" s="2" t="s">
        <v>3</v>
      </c>
      <c r="C91" s="2" t="s">
        <v>10</v>
      </c>
      <c r="D91" s="4">
        <v>600</v>
      </c>
    </row>
    <row r="92" spans="1:4" x14ac:dyDescent="0.25">
      <c r="A92" s="3">
        <v>44245</v>
      </c>
      <c r="B92" s="2" t="s">
        <v>4</v>
      </c>
      <c r="C92" s="2" t="s">
        <v>14</v>
      </c>
      <c r="D92" s="4">
        <v>3200</v>
      </c>
    </row>
    <row r="93" spans="1:4" x14ac:dyDescent="0.25">
      <c r="A93" s="3">
        <v>44245</v>
      </c>
      <c r="B93" s="2" t="s">
        <v>6</v>
      </c>
      <c r="C93" s="2" t="s">
        <v>15</v>
      </c>
      <c r="D93" s="4">
        <v>1200</v>
      </c>
    </row>
    <row r="94" spans="1:4" x14ac:dyDescent="0.25">
      <c r="A94" s="3">
        <v>44248</v>
      </c>
      <c r="B94" s="2" t="s">
        <v>3</v>
      </c>
      <c r="C94" s="2" t="s">
        <v>14</v>
      </c>
      <c r="D94" s="4">
        <v>3200</v>
      </c>
    </row>
    <row r="95" spans="1:4" x14ac:dyDescent="0.25">
      <c r="A95" s="3">
        <v>44248</v>
      </c>
      <c r="B95" s="2" t="s">
        <v>5</v>
      </c>
      <c r="C95" s="2" t="s">
        <v>13</v>
      </c>
      <c r="D95" s="4">
        <v>5400</v>
      </c>
    </row>
    <row r="96" spans="1:4" x14ac:dyDescent="0.25">
      <c r="A96" s="3">
        <v>44248</v>
      </c>
      <c r="B96" s="2" t="s">
        <v>7</v>
      </c>
      <c r="C96" s="2" t="s">
        <v>12</v>
      </c>
      <c r="D96" s="4">
        <v>8000</v>
      </c>
    </row>
    <row r="97" spans="1:4" x14ac:dyDescent="0.25">
      <c r="A97" s="3">
        <v>44249</v>
      </c>
      <c r="B97" s="2" t="s">
        <v>6</v>
      </c>
      <c r="C97" s="2" t="s">
        <v>11</v>
      </c>
      <c r="D97" s="4">
        <v>2500</v>
      </c>
    </row>
    <row r="98" spans="1:4" x14ac:dyDescent="0.25">
      <c r="A98" s="3">
        <v>44249</v>
      </c>
      <c r="B98" s="2" t="s">
        <v>4</v>
      </c>
      <c r="C98" s="2" t="s">
        <v>13</v>
      </c>
      <c r="D98" s="4">
        <v>5400</v>
      </c>
    </row>
    <row r="99" spans="1:4" x14ac:dyDescent="0.25">
      <c r="A99" s="3">
        <v>44249</v>
      </c>
      <c r="B99" s="2" t="s">
        <v>5</v>
      </c>
      <c r="C99" s="2" t="s">
        <v>12</v>
      </c>
      <c r="D99" s="4">
        <v>8000</v>
      </c>
    </row>
    <row r="100" spans="1:4" x14ac:dyDescent="0.25">
      <c r="A100" s="3">
        <v>44251</v>
      </c>
      <c r="B100" s="2" t="s">
        <v>7</v>
      </c>
      <c r="C100" s="2" t="s">
        <v>14</v>
      </c>
      <c r="D100" s="4">
        <v>3200</v>
      </c>
    </row>
    <row r="101" spans="1:4" x14ac:dyDescent="0.25">
      <c r="A101" s="3">
        <v>44251</v>
      </c>
      <c r="B101" s="2" t="s">
        <v>6</v>
      </c>
      <c r="C101" s="2" t="s">
        <v>13</v>
      </c>
      <c r="D101" s="4">
        <v>5400</v>
      </c>
    </row>
    <row r="102" spans="1:4" x14ac:dyDescent="0.25">
      <c r="A102" s="3">
        <v>44253</v>
      </c>
      <c r="B102" s="2" t="s">
        <v>4</v>
      </c>
      <c r="C102" s="2" t="s">
        <v>10</v>
      </c>
      <c r="D102" s="4">
        <v>600</v>
      </c>
    </row>
    <row r="103" spans="1:4" x14ac:dyDescent="0.25">
      <c r="A103" s="3">
        <v>44254</v>
      </c>
      <c r="B103" s="2" t="s">
        <v>8</v>
      </c>
      <c r="C103" s="2" t="s">
        <v>13</v>
      </c>
      <c r="D103" s="4">
        <v>5400</v>
      </c>
    </row>
    <row r="104" spans="1:4" x14ac:dyDescent="0.25">
      <c r="A104" s="3">
        <v>44255</v>
      </c>
      <c r="B104" s="2" t="s">
        <v>4</v>
      </c>
      <c r="C104" s="2" t="s">
        <v>11</v>
      </c>
      <c r="D104" s="4">
        <v>2500</v>
      </c>
    </row>
    <row r="105" spans="1:4" x14ac:dyDescent="0.25">
      <c r="A105" s="3">
        <v>44256</v>
      </c>
      <c r="B105" s="2" t="s">
        <v>6</v>
      </c>
      <c r="C105" s="2" t="s">
        <v>15</v>
      </c>
      <c r="D105" s="4">
        <v>1200</v>
      </c>
    </row>
    <row r="106" spans="1:4" x14ac:dyDescent="0.25">
      <c r="A106" s="3">
        <v>44257</v>
      </c>
      <c r="B106" s="2" t="s">
        <v>3</v>
      </c>
      <c r="C106" s="2" t="s">
        <v>11</v>
      </c>
      <c r="D106" s="4">
        <v>2500</v>
      </c>
    </row>
    <row r="107" spans="1:4" x14ac:dyDescent="0.25">
      <c r="A107" s="3">
        <v>44258</v>
      </c>
      <c r="B107" s="2" t="s">
        <v>8</v>
      </c>
      <c r="C107" s="2" t="s">
        <v>13</v>
      </c>
      <c r="D107" s="4">
        <v>5400</v>
      </c>
    </row>
    <row r="108" spans="1:4" x14ac:dyDescent="0.25">
      <c r="A108" s="3">
        <v>44258</v>
      </c>
      <c r="B108" s="2" t="s">
        <v>4</v>
      </c>
      <c r="C108" s="2" t="s">
        <v>13</v>
      </c>
      <c r="D108" s="4">
        <v>5400</v>
      </c>
    </row>
    <row r="109" spans="1:4" x14ac:dyDescent="0.25">
      <c r="A109" s="3">
        <v>44259</v>
      </c>
      <c r="B109" s="2" t="s">
        <v>5</v>
      </c>
      <c r="C109" s="2" t="s">
        <v>14</v>
      </c>
      <c r="D109" s="4">
        <v>3200</v>
      </c>
    </row>
    <row r="110" spans="1:4" x14ac:dyDescent="0.25">
      <c r="A110" s="3">
        <v>44260</v>
      </c>
      <c r="B110" s="2" t="s">
        <v>3</v>
      </c>
      <c r="C110" s="2" t="s">
        <v>12</v>
      </c>
      <c r="D110" s="4">
        <v>8000</v>
      </c>
    </row>
    <row r="111" spans="1:4" x14ac:dyDescent="0.25">
      <c r="A111" s="3">
        <v>44260</v>
      </c>
      <c r="B111" s="2" t="s">
        <v>3</v>
      </c>
      <c r="C111" s="2" t="s">
        <v>14</v>
      </c>
      <c r="D111" s="4">
        <v>3200</v>
      </c>
    </row>
    <row r="112" spans="1:4" x14ac:dyDescent="0.25">
      <c r="A112" s="3">
        <v>44260</v>
      </c>
      <c r="B112" s="2" t="s">
        <v>3</v>
      </c>
      <c r="C112" s="2" t="s">
        <v>15</v>
      </c>
      <c r="D112" s="4">
        <v>1200</v>
      </c>
    </row>
    <row r="113" spans="1:4" x14ac:dyDescent="0.25">
      <c r="A113" s="3">
        <v>44260</v>
      </c>
      <c r="B113" s="2" t="s">
        <v>3</v>
      </c>
      <c r="C113" s="2" t="s">
        <v>15</v>
      </c>
      <c r="D113" s="4">
        <v>1200</v>
      </c>
    </row>
    <row r="114" spans="1:4" x14ac:dyDescent="0.25">
      <c r="A114" s="3">
        <v>44261</v>
      </c>
      <c r="B114" s="2" t="s">
        <v>8</v>
      </c>
      <c r="C114" s="2" t="s">
        <v>13</v>
      </c>
      <c r="D114" s="4">
        <v>5400</v>
      </c>
    </row>
    <row r="115" spans="1:4" x14ac:dyDescent="0.25">
      <c r="A115" s="3">
        <v>44261</v>
      </c>
      <c r="B115" s="2" t="s">
        <v>3</v>
      </c>
      <c r="C115" s="2" t="s">
        <v>11</v>
      </c>
      <c r="D115" s="4">
        <v>2500</v>
      </c>
    </row>
    <row r="116" spans="1:4" x14ac:dyDescent="0.25">
      <c r="A116" s="3">
        <v>44261</v>
      </c>
      <c r="B116" s="2" t="s">
        <v>4</v>
      </c>
      <c r="C116" s="2" t="s">
        <v>12</v>
      </c>
      <c r="D116" s="4">
        <v>8000</v>
      </c>
    </row>
    <row r="117" spans="1:4" x14ac:dyDescent="0.25">
      <c r="A117" s="3">
        <v>44261</v>
      </c>
      <c r="B117" s="2" t="s">
        <v>6</v>
      </c>
      <c r="C117" s="2" t="s">
        <v>13</v>
      </c>
      <c r="D117" s="4">
        <v>5400</v>
      </c>
    </row>
    <row r="118" spans="1:4" x14ac:dyDescent="0.25">
      <c r="A118" s="3">
        <v>44262</v>
      </c>
      <c r="B118" s="2" t="s">
        <v>3</v>
      </c>
      <c r="C118" s="2" t="s">
        <v>13</v>
      </c>
      <c r="D118" s="4">
        <v>5400</v>
      </c>
    </row>
    <row r="119" spans="1:4" x14ac:dyDescent="0.25">
      <c r="A119" s="3">
        <v>44263</v>
      </c>
      <c r="B119" s="2" t="s">
        <v>6</v>
      </c>
      <c r="C119" s="2" t="s">
        <v>15</v>
      </c>
      <c r="D119" s="4">
        <v>1200</v>
      </c>
    </row>
    <row r="120" spans="1:4" x14ac:dyDescent="0.25">
      <c r="A120" s="3">
        <v>44264</v>
      </c>
      <c r="B120" s="2" t="s">
        <v>5</v>
      </c>
      <c r="C120" s="2" t="s">
        <v>13</v>
      </c>
      <c r="D120" s="4">
        <v>5400</v>
      </c>
    </row>
    <row r="121" spans="1:4" x14ac:dyDescent="0.25">
      <c r="A121" s="3">
        <v>44265</v>
      </c>
      <c r="B121" s="2" t="s">
        <v>7</v>
      </c>
      <c r="C121" s="2" t="s">
        <v>13</v>
      </c>
      <c r="D121" s="4">
        <v>5400</v>
      </c>
    </row>
    <row r="122" spans="1:4" x14ac:dyDescent="0.25">
      <c r="A122" s="3">
        <v>44265</v>
      </c>
      <c r="B122" s="2" t="s">
        <v>3</v>
      </c>
      <c r="C122" s="2" t="s">
        <v>10</v>
      </c>
      <c r="D122" s="4">
        <v>600</v>
      </c>
    </row>
    <row r="123" spans="1:4" x14ac:dyDescent="0.25">
      <c r="A123" s="3">
        <v>44265</v>
      </c>
      <c r="B123" s="2" t="s">
        <v>8</v>
      </c>
      <c r="C123" s="2" t="s">
        <v>10</v>
      </c>
      <c r="D123" s="4">
        <v>600</v>
      </c>
    </row>
    <row r="124" spans="1:4" x14ac:dyDescent="0.25">
      <c r="A124" s="3">
        <v>44265</v>
      </c>
      <c r="B124" s="2" t="s">
        <v>7</v>
      </c>
      <c r="C124" s="2" t="s">
        <v>15</v>
      </c>
      <c r="D124" s="4">
        <v>1200</v>
      </c>
    </row>
    <row r="125" spans="1:4" x14ac:dyDescent="0.25">
      <c r="A125" s="3">
        <v>44266</v>
      </c>
      <c r="B125" s="2" t="s">
        <v>3</v>
      </c>
      <c r="C125" s="2" t="s">
        <v>13</v>
      </c>
      <c r="D125" s="4">
        <v>5400</v>
      </c>
    </row>
    <row r="126" spans="1:4" x14ac:dyDescent="0.25">
      <c r="A126" s="3">
        <v>44267</v>
      </c>
      <c r="B126" s="2" t="s">
        <v>6</v>
      </c>
      <c r="C126" s="2" t="s">
        <v>13</v>
      </c>
      <c r="D126" s="4">
        <v>5400</v>
      </c>
    </row>
    <row r="127" spans="1:4" x14ac:dyDescent="0.25">
      <c r="A127" s="3">
        <v>44267</v>
      </c>
      <c r="B127" s="2" t="s">
        <v>5</v>
      </c>
      <c r="C127" s="2" t="s">
        <v>15</v>
      </c>
      <c r="D127" s="4">
        <v>1200</v>
      </c>
    </row>
    <row r="128" spans="1:4" x14ac:dyDescent="0.25">
      <c r="A128" s="3">
        <v>44268</v>
      </c>
      <c r="B128" s="2" t="s">
        <v>3</v>
      </c>
      <c r="C128" s="2" t="s">
        <v>13</v>
      </c>
      <c r="D128" s="4">
        <v>5400</v>
      </c>
    </row>
    <row r="129" spans="1:4" x14ac:dyDescent="0.25">
      <c r="A129" s="3">
        <v>44268</v>
      </c>
      <c r="B129" s="2" t="s">
        <v>6</v>
      </c>
      <c r="C129" s="2" t="s">
        <v>15</v>
      </c>
      <c r="D129" s="4">
        <v>1200</v>
      </c>
    </row>
    <row r="130" spans="1:4" x14ac:dyDescent="0.25">
      <c r="A130" s="3">
        <v>44269</v>
      </c>
      <c r="B130" s="2" t="s">
        <v>4</v>
      </c>
      <c r="C130" s="2" t="s">
        <v>11</v>
      </c>
      <c r="D130" s="4">
        <v>2500</v>
      </c>
    </row>
    <row r="131" spans="1:4" x14ac:dyDescent="0.25">
      <c r="A131" s="3">
        <v>44269</v>
      </c>
      <c r="B131" s="2" t="s">
        <v>5</v>
      </c>
      <c r="C131" s="2" t="s">
        <v>12</v>
      </c>
      <c r="D131" s="4">
        <v>8000</v>
      </c>
    </row>
    <row r="132" spans="1:4" x14ac:dyDescent="0.25">
      <c r="A132" s="3">
        <v>44270</v>
      </c>
      <c r="B132" s="2" t="s">
        <v>3</v>
      </c>
      <c r="C132" s="2" t="s">
        <v>15</v>
      </c>
      <c r="D132" s="4">
        <v>1200</v>
      </c>
    </row>
    <row r="133" spans="1:4" x14ac:dyDescent="0.25">
      <c r="A133" s="3">
        <v>44270</v>
      </c>
      <c r="B133" s="2" t="s">
        <v>3</v>
      </c>
      <c r="C133" s="2" t="s">
        <v>14</v>
      </c>
      <c r="D133" s="4">
        <v>3200</v>
      </c>
    </row>
    <row r="134" spans="1:4" x14ac:dyDescent="0.25">
      <c r="A134" s="3">
        <v>44270</v>
      </c>
      <c r="B134" s="2" t="s">
        <v>6</v>
      </c>
      <c r="C134" s="2" t="s">
        <v>12</v>
      </c>
      <c r="D134" s="4">
        <v>8000</v>
      </c>
    </row>
    <row r="135" spans="1:4" x14ac:dyDescent="0.25">
      <c r="A135" s="3">
        <v>44270</v>
      </c>
      <c r="B135" s="2" t="s">
        <v>6</v>
      </c>
      <c r="C135" s="2" t="s">
        <v>10</v>
      </c>
      <c r="D135" s="4">
        <v>600</v>
      </c>
    </row>
    <row r="136" spans="1:4" x14ac:dyDescent="0.25">
      <c r="A136" s="3">
        <v>44271</v>
      </c>
      <c r="B136" s="2" t="s">
        <v>7</v>
      </c>
      <c r="C136" s="2" t="s">
        <v>11</v>
      </c>
      <c r="D136" s="4">
        <v>1200</v>
      </c>
    </row>
    <row r="137" spans="1:4" x14ac:dyDescent="0.25">
      <c r="A137" s="3">
        <v>44271</v>
      </c>
      <c r="B137" s="2" t="s">
        <v>3</v>
      </c>
      <c r="C137" s="2" t="s">
        <v>11</v>
      </c>
      <c r="D137" s="4">
        <v>2500</v>
      </c>
    </row>
    <row r="138" spans="1:4" x14ac:dyDescent="0.25">
      <c r="A138" s="3">
        <v>44272</v>
      </c>
      <c r="B138" s="2" t="s">
        <v>7</v>
      </c>
      <c r="C138" s="2" t="s">
        <v>15</v>
      </c>
      <c r="D138" s="4">
        <v>1200</v>
      </c>
    </row>
    <row r="139" spans="1:4" x14ac:dyDescent="0.25">
      <c r="A139" s="3">
        <v>44273</v>
      </c>
      <c r="B139" s="2" t="s">
        <v>4</v>
      </c>
      <c r="C139" s="2" t="s">
        <v>13</v>
      </c>
      <c r="D139" s="4">
        <v>5400</v>
      </c>
    </row>
    <row r="140" spans="1:4" x14ac:dyDescent="0.25">
      <c r="A140" s="3">
        <v>44273</v>
      </c>
      <c r="B140" s="2" t="s">
        <v>7</v>
      </c>
      <c r="C140" s="2" t="s">
        <v>13</v>
      </c>
      <c r="D140" s="4">
        <v>5400</v>
      </c>
    </row>
    <row r="141" spans="1:4" x14ac:dyDescent="0.25">
      <c r="A141" s="3">
        <v>44273</v>
      </c>
      <c r="B141" s="2" t="s">
        <v>7</v>
      </c>
      <c r="C141" s="2" t="s">
        <v>11</v>
      </c>
      <c r="D141" s="4">
        <v>600</v>
      </c>
    </row>
    <row r="142" spans="1:4" x14ac:dyDescent="0.25">
      <c r="A142" s="3">
        <v>44274</v>
      </c>
      <c r="B142" s="2" t="s">
        <v>6</v>
      </c>
      <c r="C142" s="2" t="s">
        <v>15</v>
      </c>
      <c r="D142" s="4">
        <v>1200</v>
      </c>
    </row>
    <row r="143" spans="1:4" x14ac:dyDescent="0.25">
      <c r="A143" s="3">
        <v>44274</v>
      </c>
      <c r="B143" s="2" t="s">
        <v>6</v>
      </c>
      <c r="C143" s="2" t="s">
        <v>15</v>
      </c>
      <c r="D143" s="4">
        <v>1200</v>
      </c>
    </row>
    <row r="144" spans="1:4" x14ac:dyDescent="0.25">
      <c r="A144" s="3">
        <v>44276</v>
      </c>
      <c r="B144" s="2" t="s">
        <v>8</v>
      </c>
      <c r="C144" s="2" t="s">
        <v>12</v>
      </c>
      <c r="D144" s="4">
        <v>8000</v>
      </c>
    </row>
    <row r="145" spans="1:4" x14ac:dyDescent="0.25">
      <c r="A145" s="3">
        <v>44276</v>
      </c>
      <c r="B145" s="2" t="s">
        <v>8</v>
      </c>
      <c r="C145" s="2" t="s">
        <v>12</v>
      </c>
      <c r="D145" s="4">
        <v>8000</v>
      </c>
    </row>
    <row r="146" spans="1:4" x14ac:dyDescent="0.25">
      <c r="A146" s="3">
        <v>44277</v>
      </c>
      <c r="B146" s="2" t="s">
        <v>4</v>
      </c>
      <c r="C146" s="2" t="s">
        <v>14</v>
      </c>
      <c r="D146" s="4">
        <v>3200</v>
      </c>
    </row>
    <row r="147" spans="1:4" x14ac:dyDescent="0.25">
      <c r="A147" s="3">
        <v>44277</v>
      </c>
      <c r="B147" s="2" t="s">
        <v>5</v>
      </c>
      <c r="C147" s="2" t="s">
        <v>10</v>
      </c>
      <c r="D147" s="4">
        <v>600</v>
      </c>
    </row>
    <row r="148" spans="1:4" x14ac:dyDescent="0.25">
      <c r="A148" s="3">
        <v>44277</v>
      </c>
      <c r="B148" s="2" t="s">
        <v>5</v>
      </c>
      <c r="C148" s="2" t="s">
        <v>10</v>
      </c>
      <c r="D148" s="4">
        <v>600</v>
      </c>
    </row>
    <row r="149" spans="1:4" x14ac:dyDescent="0.25">
      <c r="A149" s="3">
        <v>44277</v>
      </c>
      <c r="B149" s="2" t="s">
        <v>3</v>
      </c>
      <c r="C149" s="2" t="s">
        <v>10</v>
      </c>
      <c r="D149" s="4">
        <v>600</v>
      </c>
    </row>
    <row r="150" spans="1:4" x14ac:dyDescent="0.25">
      <c r="A150" s="3">
        <v>44277</v>
      </c>
      <c r="B150" s="2" t="s">
        <v>6</v>
      </c>
      <c r="C150" s="2" t="s">
        <v>11</v>
      </c>
      <c r="D150" s="4">
        <v>2500</v>
      </c>
    </row>
    <row r="151" spans="1:4" x14ac:dyDescent="0.25">
      <c r="A151" s="3">
        <v>44278</v>
      </c>
      <c r="B151" s="2" t="s">
        <v>3</v>
      </c>
      <c r="C151" s="2" t="s">
        <v>15</v>
      </c>
      <c r="D151" s="4">
        <v>1200</v>
      </c>
    </row>
    <row r="152" spans="1:4" x14ac:dyDescent="0.25">
      <c r="A152" s="3">
        <v>44280</v>
      </c>
      <c r="B152" s="2" t="s">
        <v>8</v>
      </c>
      <c r="C152" s="2" t="s">
        <v>15</v>
      </c>
      <c r="D152" s="4">
        <v>1200</v>
      </c>
    </row>
    <row r="153" spans="1:4" x14ac:dyDescent="0.25">
      <c r="A153" s="3">
        <v>44280</v>
      </c>
      <c r="B153" s="2" t="s">
        <v>7</v>
      </c>
      <c r="C153" s="2" t="s">
        <v>11</v>
      </c>
      <c r="D153" s="4">
        <v>2500</v>
      </c>
    </row>
    <row r="154" spans="1:4" x14ac:dyDescent="0.25">
      <c r="A154" s="3">
        <v>44280</v>
      </c>
      <c r="B154" s="2" t="s">
        <v>5</v>
      </c>
      <c r="C154" s="2" t="s">
        <v>13</v>
      </c>
      <c r="D154" s="4">
        <v>5400</v>
      </c>
    </row>
    <row r="155" spans="1:4" x14ac:dyDescent="0.25">
      <c r="A155" s="3">
        <v>44281</v>
      </c>
      <c r="B155" s="2" t="s">
        <v>3</v>
      </c>
      <c r="C155" s="2" t="s">
        <v>10</v>
      </c>
      <c r="D155" s="4">
        <v>600</v>
      </c>
    </row>
    <row r="156" spans="1:4" x14ac:dyDescent="0.25">
      <c r="A156" s="3">
        <v>44282</v>
      </c>
      <c r="B156" s="2" t="s">
        <v>7</v>
      </c>
      <c r="C156" s="2" t="s">
        <v>10</v>
      </c>
      <c r="D156" s="4">
        <v>600</v>
      </c>
    </row>
    <row r="157" spans="1:4" x14ac:dyDescent="0.25">
      <c r="A157" s="3">
        <v>44283</v>
      </c>
      <c r="B157" s="2" t="s">
        <v>3</v>
      </c>
      <c r="C157" s="2" t="s">
        <v>15</v>
      </c>
      <c r="D157" s="4">
        <v>1200</v>
      </c>
    </row>
    <row r="158" spans="1:4" x14ac:dyDescent="0.25">
      <c r="A158" s="3">
        <v>44283</v>
      </c>
      <c r="B158" s="2" t="s">
        <v>5</v>
      </c>
      <c r="C158" s="2" t="s">
        <v>12</v>
      </c>
      <c r="D158" s="4">
        <v>8000</v>
      </c>
    </row>
    <row r="159" spans="1:4" x14ac:dyDescent="0.25">
      <c r="A159" s="3">
        <v>44284</v>
      </c>
      <c r="B159" s="2" t="s">
        <v>6</v>
      </c>
      <c r="C159" s="2" t="s">
        <v>13</v>
      </c>
      <c r="D159" s="4">
        <v>5400</v>
      </c>
    </row>
    <row r="160" spans="1:4" x14ac:dyDescent="0.25">
      <c r="A160" s="3">
        <v>44284</v>
      </c>
      <c r="B160" s="2" t="s">
        <v>3</v>
      </c>
      <c r="C160" s="2" t="s">
        <v>13</v>
      </c>
      <c r="D160" s="4">
        <v>5400</v>
      </c>
    </row>
    <row r="161" spans="1:4" x14ac:dyDescent="0.25">
      <c r="A161" s="3">
        <v>44285</v>
      </c>
      <c r="B161" s="2" t="s">
        <v>7</v>
      </c>
      <c r="C161" s="2" t="s">
        <v>10</v>
      </c>
      <c r="D161" s="4">
        <v>600</v>
      </c>
    </row>
    <row r="162" spans="1:4" x14ac:dyDescent="0.25">
      <c r="A162" s="3">
        <v>44285</v>
      </c>
      <c r="B162" s="2" t="s">
        <v>5</v>
      </c>
      <c r="C162" s="2" t="s">
        <v>10</v>
      </c>
      <c r="D162" s="4">
        <v>600</v>
      </c>
    </row>
    <row r="163" spans="1:4" x14ac:dyDescent="0.25">
      <c r="A163" s="3">
        <v>44285</v>
      </c>
      <c r="B163" s="2" t="s">
        <v>4</v>
      </c>
      <c r="C163" s="2" t="s">
        <v>14</v>
      </c>
      <c r="D163" s="4">
        <v>3200</v>
      </c>
    </row>
    <row r="164" spans="1:4" x14ac:dyDescent="0.25">
      <c r="A164" s="3">
        <v>44285</v>
      </c>
      <c r="B164" s="2" t="s">
        <v>6</v>
      </c>
      <c r="C164" s="2" t="s">
        <v>11</v>
      </c>
      <c r="D164" s="4">
        <v>2500</v>
      </c>
    </row>
    <row r="165" spans="1:4" x14ac:dyDescent="0.25">
      <c r="A165" s="3">
        <v>44286</v>
      </c>
      <c r="B165" s="2" t="s">
        <v>7</v>
      </c>
      <c r="C165" s="2" t="s">
        <v>13</v>
      </c>
      <c r="D165" s="4">
        <v>5400</v>
      </c>
    </row>
    <row r="166" spans="1:4" x14ac:dyDescent="0.25">
      <c r="A166" s="3">
        <v>44286</v>
      </c>
      <c r="B166" s="2" t="s">
        <v>4</v>
      </c>
      <c r="C166" s="2" t="s">
        <v>13</v>
      </c>
      <c r="D166" s="4">
        <v>5400</v>
      </c>
    </row>
    <row r="167" spans="1:4" x14ac:dyDescent="0.25">
      <c r="A167" s="3">
        <v>44286</v>
      </c>
      <c r="B167" s="2" t="s">
        <v>7</v>
      </c>
      <c r="C167" s="2" t="s">
        <v>13</v>
      </c>
      <c r="D167" s="4">
        <v>5400</v>
      </c>
    </row>
    <row r="168" spans="1:4" x14ac:dyDescent="0.25">
      <c r="A168" s="3">
        <v>44287</v>
      </c>
      <c r="B168" s="2" t="s">
        <v>4</v>
      </c>
      <c r="C168" s="2" t="s">
        <v>15</v>
      </c>
      <c r="D168" s="4">
        <v>1200</v>
      </c>
    </row>
    <row r="169" spans="1:4" x14ac:dyDescent="0.25">
      <c r="A169" s="3">
        <v>44288</v>
      </c>
      <c r="B169" s="2" t="s">
        <v>5</v>
      </c>
      <c r="C169" s="2" t="s">
        <v>12</v>
      </c>
      <c r="D169" s="4">
        <v>8000</v>
      </c>
    </row>
    <row r="170" spans="1:4" x14ac:dyDescent="0.25">
      <c r="A170" s="3">
        <v>44288</v>
      </c>
      <c r="B170" s="2" t="s">
        <v>3</v>
      </c>
      <c r="C170" s="2" t="s">
        <v>14</v>
      </c>
      <c r="D170" s="4">
        <v>3200</v>
      </c>
    </row>
    <row r="171" spans="1:4" x14ac:dyDescent="0.25">
      <c r="A171" s="3">
        <v>44288</v>
      </c>
      <c r="B171" s="2" t="s">
        <v>6</v>
      </c>
      <c r="C171" s="2" t="s">
        <v>11</v>
      </c>
      <c r="D171" s="4">
        <v>2500</v>
      </c>
    </row>
    <row r="172" spans="1:4" x14ac:dyDescent="0.25">
      <c r="A172" s="3">
        <v>44288</v>
      </c>
      <c r="B172" s="2" t="s">
        <v>8</v>
      </c>
      <c r="C172" s="2" t="s">
        <v>13</v>
      </c>
      <c r="D172" s="4">
        <v>5400</v>
      </c>
    </row>
    <row r="173" spans="1:4" x14ac:dyDescent="0.25">
      <c r="A173" s="3">
        <v>44289</v>
      </c>
      <c r="B173" s="2" t="s">
        <v>7</v>
      </c>
      <c r="C173" s="2" t="s">
        <v>10</v>
      </c>
      <c r="D173" s="4">
        <v>600</v>
      </c>
    </row>
    <row r="174" spans="1:4" x14ac:dyDescent="0.25">
      <c r="A174" s="3">
        <v>44290</v>
      </c>
      <c r="B174" s="2" t="s">
        <v>8</v>
      </c>
      <c r="C174" s="2" t="s">
        <v>10</v>
      </c>
      <c r="D174" s="4">
        <v>600</v>
      </c>
    </row>
    <row r="175" spans="1:4" x14ac:dyDescent="0.25">
      <c r="A175" s="3">
        <v>44290</v>
      </c>
      <c r="B175" s="2" t="s">
        <v>8</v>
      </c>
      <c r="C175" s="2" t="s">
        <v>11</v>
      </c>
      <c r="D175" s="4">
        <v>2500</v>
      </c>
    </row>
    <row r="176" spans="1:4" x14ac:dyDescent="0.25">
      <c r="A176" s="3">
        <v>44291</v>
      </c>
      <c r="B176" s="2" t="s">
        <v>5</v>
      </c>
      <c r="C176" s="2" t="s">
        <v>14</v>
      </c>
      <c r="D176" s="4">
        <v>3200</v>
      </c>
    </row>
    <row r="177" spans="1:4" x14ac:dyDescent="0.25">
      <c r="A177" s="3">
        <v>44291</v>
      </c>
      <c r="B177" s="2" t="s">
        <v>8</v>
      </c>
      <c r="C177" s="2" t="s">
        <v>15</v>
      </c>
      <c r="D177" s="4">
        <v>1200</v>
      </c>
    </row>
    <row r="178" spans="1:4" x14ac:dyDescent="0.25">
      <c r="A178" s="3">
        <v>44292</v>
      </c>
      <c r="B178" s="2" t="s">
        <v>6</v>
      </c>
      <c r="C178" s="2" t="s">
        <v>14</v>
      </c>
      <c r="D178" s="4">
        <v>3200</v>
      </c>
    </row>
    <row r="179" spans="1:4" x14ac:dyDescent="0.25">
      <c r="A179" s="3">
        <v>44292</v>
      </c>
      <c r="B179" s="2" t="s">
        <v>5</v>
      </c>
      <c r="C179" s="2" t="s">
        <v>12</v>
      </c>
      <c r="D179" s="4">
        <v>8000</v>
      </c>
    </row>
    <row r="180" spans="1:4" x14ac:dyDescent="0.25">
      <c r="A180" s="3">
        <v>44293</v>
      </c>
      <c r="B180" s="2" t="s">
        <v>4</v>
      </c>
      <c r="C180" s="2" t="s">
        <v>15</v>
      </c>
      <c r="D180" s="4">
        <v>1200</v>
      </c>
    </row>
    <row r="181" spans="1:4" x14ac:dyDescent="0.25">
      <c r="A181" s="3">
        <v>44293</v>
      </c>
      <c r="B181" s="2" t="s">
        <v>8</v>
      </c>
      <c r="C181" s="2" t="s">
        <v>14</v>
      </c>
      <c r="D181" s="4">
        <v>3200</v>
      </c>
    </row>
    <row r="182" spans="1:4" x14ac:dyDescent="0.25">
      <c r="A182" s="3">
        <v>44293</v>
      </c>
      <c r="B182" s="2" t="s">
        <v>8</v>
      </c>
      <c r="C182" s="2" t="s">
        <v>10</v>
      </c>
      <c r="D182" s="4">
        <v>600</v>
      </c>
    </row>
    <row r="183" spans="1:4" x14ac:dyDescent="0.25">
      <c r="A183" s="3">
        <v>44294</v>
      </c>
      <c r="B183" s="2" t="s">
        <v>7</v>
      </c>
      <c r="C183" s="2" t="s">
        <v>11</v>
      </c>
      <c r="D183" s="4">
        <v>2500</v>
      </c>
    </row>
    <row r="184" spans="1:4" x14ac:dyDescent="0.25">
      <c r="A184" s="3">
        <v>44294</v>
      </c>
      <c r="B184" s="2" t="s">
        <v>6</v>
      </c>
      <c r="C184" s="2" t="s">
        <v>10</v>
      </c>
      <c r="D184" s="4">
        <v>600</v>
      </c>
    </row>
    <row r="185" spans="1:4" x14ac:dyDescent="0.25">
      <c r="A185" s="3">
        <v>44295</v>
      </c>
      <c r="B185" s="2" t="s">
        <v>8</v>
      </c>
      <c r="C185" s="2" t="s">
        <v>11</v>
      </c>
      <c r="D185" s="4">
        <v>2500</v>
      </c>
    </row>
    <row r="186" spans="1:4" x14ac:dyDescent="0.25">
      <c r="A186" s="3">
        <v>44295</v>
      </c>
      <c r="B186" s="2" t="s">
        <v>4</v>
      </c>
      <c r="C186" s="2" t="s">
        <v>10</v>
      </c>
      <c r="D186" s="4">
        <v>600</v>
      </c>
    </row>
    <row r="187" spans="1:4" x14ac:dyDescent="0.25">
      <c r="A187" s="3">
        <v>44295</v>
      </c>
      <c r="B187" s="2" t="s">
        <v>7</v>
      </c>
      <c r="C187" s="2" t="s">
        <v>15</v>
      </c>
      <c r="D187" s="4">
        <v>1200</v>
      </c>
    </row>
    <row r="188" spans="1:4" x14ac:dyDescent="0.25">
      <c r="A188" s="3">
        <v>44295</v>
      </c>
      <c r="B188" s="2" t="s">
        <v>5</v>
      </c>
      <c r="C188" s="2" t="s">
        <v>12</v>
      </c>
      <c r="D188" s="4">
        <v>8000</v>
      </c>
    </row>
    <row r="189" spans="1:4" x14ac:dyDescent="0.25">
      <c r="A189" s="3">
        <v>44296</v>
      </c>
      <c r="B189" s="2" t="s">
        <v>4</v>
      </c>
      <c r="C189" s="2" t="s">
        <v>11</v>
      </c>
      <c r="D189" s="4">
        <v>2500</v>
      </c>
    </row>
    <row r="190" spans="1:4" x14ac:dyDescent="0.25">
      <c r="A190" s="3">
        <v>44296</v>
      </c>
      <c r="B190" s="2" t="s">
        <v>3</v>
      </c>
      <c r="C190" s="2" t="s">
        <v>15</v>
      </c>
      <c r="D190" s="4">
        <v>1200</v>
      </c>
    </row>
    <row r="191" spans="1:4" x14ac:dyDescent="0.25">
      <c r="A191" s="3">
        <v>44297</v>
      </c>
      <c r="B191" s="2" t="s">
        <v>6</v>
      </c>
      <c r="C191" s="2" t="s">
        <v>14</v>
      </c>
      <c r="D191" s="4">
        <v>3200</v>
      </c>
    </row>
    <row r="192" spans="1:4" x14ac:dyDescent="0.25">
      <c r="A192" s="3">
        <v>44297</v>
      </c>
      <c r="B192" s="2" t="s">
        <v>5</v>
      </c>
      <c r="C192" s="2" t="s">
        <v>13</v>
      </c>
      <c r="D192" s="4">
        <v>5400</v>
      </c>
    </row>
    <row r="193" spans="1:4" x14ac:dyDescent="0.25">
      <c r="A193" s="3">
        <v>44298</v>
      </c>
      <c r="B193" s="2" t="s">
        <v>3</v>
      </c>
      <c r="C193" s="2" t="s">
        <v>13</v>
      </c>
      <c r="D193" s="4">
        <v>5400</v>
      </c>
    </row>
    <row r="194" spans="1:4" x14ac:dyDescent="0.25">
      <c r="A194" s="3">
        <v>44298</v>
      </c>
      <c r="B194" s="2" t="s">
        <v>3</v>
      </c>
      <c r="C194" s="2" t="s">
        <v>10</v>
      </c>
      <c r="D194" s="4">
        <v>600</v>
      </c>
    </row>
    <row r="195" spans="1:4" x14ac:dyDescent="0.25">
      <c r="A195" s="3">
        <v>44299</v>
      </c>
      <c r="B195" s="2" t="s">
        <v>5</v>
      </c>
      <c r="C195" s="2" t="s">
        <v>13</v>
      </c>
      <c r="D195" s="4">
        <v>5400</v>
      </c>
    </row>
    <row r="196" spans="1:4" x14ac:dyDescent="0.25">
      <c r="A196" s="3">
        <v>44300</v>
      </c>
      <c r="B196" s="2" t="s">
        <v>7</v>
      </c>
      <c r="C196" s="2" t="s">
        <v>13</v>
      </c>
      <c r="D196" s="4">
        <v>5400</v>
      </c>
    </row>
    <row r="197" spans="1:4" x14ac:dyDescent="0.25">
      <c r="A197" s="3">
        <v>44300</v>
      </c>
      <c r="B197" s="2" t="s">
        <v>3</v>
      </c>
      <c r="C197" s="2" t="s">
        <v>15</v>
      </c>
      <c r="D197" s="4">
        <v>1200</v>
      </c>
    </row>
    <row r="198" spans="1:4" x14ac:dyDescent="0.25">
      <c r="A198" s="3">
        <v>44300</v>
      </c>
      <c r="B198" s="2" t="s">
        <v>5</v>
      </c>
      <c r="C198" s="2" t="s">
        <v>13</v>
      </c>
      <c r="D198" s="4">
        <v>5400</v>
      </c>
    </row>
    <row r="199" spans="1:4" x14ac:dyDescent="0.25">
      <c r="A199" s="3">
        <v>44301</v>
      </c>
      <c r="B199" s="2" t="s">
        <v>7</v>
      </c>
      <c r="C199" s="2" t="s">
        <v>11</v>
      </c>
      <c r="D199" s="4">
        <v>2500</v>
      </c>
    </row>
    <row r="200" spans="1:4" x14ac:dyDescent="0.25">
      <c r="A200" s="3">
        <v>44302</v>
      </c>
      <c r="B200" s="2" t="s">
        <v>5</v>
      </c>
      <c r="C200" s="2" t="s">
        <v>13</v>
      </c>
      <c r="D200" s="4">
        <v>5400</v>
      </c>
    </row>
    <row r="201" spans="1:4" x14ac:dyDescent="0.25">
      <c r="A201" s="3">
        <v>44302</v>
      </c>
      <c r="B201" s="2" t="s">
        <v>4</v>
      </c>
      <c r="C201" s="2" t="s">
        <v>11</v>
      </c>
      <c r="D201" s="4">
        <v>2500</v>
      </c>
    </row>
    <row r="202" spans="1:4" x14ac:dyDescent="0.25">
      <c r="A202" s="3">
        <v>44302</v>
      </c>
      <c r="B202" s="2" t="s">
        <v>8</v>
      </c>
      <c r="C202" s="2" t="s">
        <v>13</v>
      </c>
      <c r="D202" s="4">
        <v>5400</v>
      </c>
    </row>
    <row r="203" spans="1:4" x14ac:dyDescent="0.25">
      <c r="A203" s="3">
        <v>44302</v>
      </c>
      <c r="B203" s="2" t="s">
        <v>6</v>
      </c>
      <c r="C203" s="2" t="s">
        <v>14</v>
      </c>
      <c r="D203" s="4">
        <v>3200</v>
      </c>
    </row>
    <row r="204" spans="1:4" x14ac:dyDescent="0.25">
      <c r="A204" s="3">
        <v>44303</v>
      </c>
      <c r="B204" s="2" t="s">
        <v>6</v>
      </c>
      <c r="C204" s="2" t="s">
        <v>15</v>
      </c>
      <c r="D204" s="4">
        <v>1200</v>
      </c>
    </row>
    <row r="205" spans="1:4" x14ac:dyDescent="0.25">
      <c r="A205" s="3">
        <v>44303</v>
      </c>
      <c r="B205" s="2" t="s">
        <v>4</v>
      </c>
      <c r="C205" s="2" t="s">
        <v>14</v>
      </c>
      <c r="D205" s="4">
        <v>3200</v>
      </c>
    </row>
    <row r="206" spans="1:4" x14ac:dyDescent="0.25">
      <c r="A206" s="3">
        <v>44303</v>
      </c>
      <c r="B206" s="2" t="s">
        <v>6</v>
      </c>
      <c r="C206" s="2" t="s">
        <v>12</v>
      </c>
      <c r="D206" s="4">
        <v>8000</v>
      </c>
    </row>
    <row r="207" spans="1:4" x14ac:dyDescent="0.25">
      <c r="A207" s="3">
        <v>44304</v>
      </c>
      <c r="B207" s="2" t="s">
        <v>3</v>
      </c>
      <c r="C207" s="2" t="s">
        <v>12</v>
      </c>
      <c r="D207" s="4">
        <v>8000</v>
      </c>
    </row>
    <row r="208" spans="1:4" x14ac:dyDescent="0.25">
      <c r="A208" s="3">
        <v>44304</v>
      </c>
      <c r="B208" s="2" t="s">
        <v>3</v>
      </c>
      <c r="C208" s="2" t="s">
        <v>13</v>
      </c>
      <c r="D208" s="4">
        <v>5400</v>
      </c>
    </row>
    <row r="209" spans="1:4" x14ac:dyDescent="0.25">
      <c r="A209" s="3">
        <v>44306</v>
      </c>
      <c r="B209" s="2" t="s">
        <v>4</v>
      </c>
      <c r="C209" s="2" t="s">
        <v>10</v>
      </c>
      <c r="D209" s="4">
        <v>600</v>
      </c>
    </row>
    <row r="210" spans="1:4" x14ac:dyDescent="0.25">
      <c r="A210" s="3">
        <v>44307</v>
      </c>
      <c r="B210" s="2" t="s">
        <v>5</v>
      </c>
      <c r="C210" s="2" t="s">
        <v>13</v>
      </c>
      <c r="D210" s="4">
        <v>5400</v>
      </c>
    </row>
    <row r="211" spans="1:4" x14ac:dyDescent="0.25">
      <c r="A211" s="3">
        <v>44307</v>
      </c>
      <c r="B211" s="2" t="s">
        <v>4</v>
      </c>
      <c r="C211" s="2" t="s">
        <v>10</v>
      </c>
      <c r="D211" s="4">
        <v>600</v>
      </c>
    </row>
    <row r="212" spans="1:4" x14ac:dyDescent="0.25">
      <c r="A212" s="3">
        <v>44307</v>
      </c>
      <c r="B212" s="2" t="s">
        <v>3</v>
      </c>
      <c r="C212" s="2" t="s">
        <v>11</v>
      </c>
      <c r="D212" s="4">
        <v>2500</v>
      </c>
    </row>
    <row r="213" spans="1:4" x14ac:dyDescent="0.25">
      <c r="A213" s="3">
        <v>44308</v>
      </c>
      <c r="B213" s="2" t="s">
        <v>7</v>
      </c>
      <c r="C213" s="2" t="s">
        <v>13</v>
      </c>
      <c r="D213" s="4">
        <v>5400</v>
      </c>
    </row>
    <row r="214" spans="1:4" x14ac:dyDescent="0.25">
      <c r="A214" s="3">
        <v>44309</v>
      </c>
      <c r="B214" s="2" t="s">
        <v>4</v>
      </c>
      <c r="C214" s="2" t="s">
        <v>15</v>
      </c>
      <c r="D214" s="4">
        <v>1200</v>
      </c>
    </row>
    <row r="215" spans="1:4" x14ac:dyDescent="0.25">
      <c r="A215" s="3">
        <v>44309</v>
      </c>
      <c r="B215" s="2" t="s">
        <v>3</v>
      </c>
      <c r="C215" s="2" t="s">
        <v>15</v>
      </c>
      <c r="D215" s="4">
        <v>1200</v>
      </c>
    </row>
    <row r="216" spans="1:4" x14ac:dyDescent="0.25">
      <c r="A216" s="3">
        <v>44310</v>
      </c>
      <c r="B216" s="2" t="s">
        <v>8</v>
      </c>
      <c r="C216" s="2" t="s">
        <v>13</v>
      </c>
      <c r="D216" s="4">
        <v>5400</v>
      </c>
    </row>
    <row r="217" spans="1:4" x14ac:dyDescent="0.25">
      <c r="A217" s="3">
        <v>44310</v>
      </c>
      <c r="B217" s="2" t="s">
        <v>3</v>
      </c>
      <c r="C217" s="2" t="s">
        <v>11</v>
      </c>
      <c r="D217" s="4">
        <v>2500</v>
      </c>
    </row>
    <row r="218" spans="1:4" x14ac:dyDescent="0.25">
      <c r="A218" s="3">
        <v>44314</v>
      </c>
      <c r="B218" s="2" t="s">
        <v>5</v>
      </c>
      <c r="C218" s="2" t="s">
        <v>12</v>
      </c>
      <c r="D218" s="4">
        <v>8000</v>
      </c>
    </row>
    <row r="219" spans="1:4" x14ac:dyDescent="0.25">
      <c r="A219" s="3">
        <v>44315</v>
      </c>
      <c r="B219" s="2" t="s">
        <v>8</v>
      </c>
      <c r="C219" s="2" t="s">
        <v>15</v>
      </c>
      <c r="D219" s="4">
        <v>1200</v>
      </c>
    </row>
    <row r="220" spans="1:4" x14ac:dyDescent="0.25">
      <c r="A220" s="3">
        <v>44316</v>
      </c>
      <c r="B220" s="2" t="s">
        <v>3</v>
      </c>
      <c r="C220" s="2" t="s">
        <v>13</v>
      </c>
      <c r="D220" s="4">
        <v>5400</v>
      </c>
    </row>
    <row r="221" spans="1:4" x14ac:dyDescent="0.25">
      <c r="A221" s="3">
        <v>44317</v>
      </c>
      <c r="B221" s="2" t="s">
        <v>3</v>
      </c>
      <c r="C221" s="2" t="s">
        <v>13</v>
      </c>
      <c r="D221" s="4">
        <v>5400</v>
      </c>
    </row>
    <row r="222" spans="1:4" x14ac:dyDescent="0.25">
      <c r="A222" s="3">
        <v>44317</v>
      </c>
      <c r="B222" s="2" t="s">
        <v>4</v>
      </c>
      <c r="C222" s="2" t="s">
        <v>10</v>
      </c>
      <c r="D222" s="4">
        <v>600</v>
      </c>
    </row>
    <row r="223" spans="1:4" x14ac:dyDescent="0.25">
      <c r="A223" s="3">
        <v>44318</v>
      </c>
      <c r="B223" s="2" t="s">
        <v>5</v>
      </c>
      <c r="C223" s="2" t="s">
        <v>10</v>
      </c>
      <c r="D223" s="4">
        <v>600</v>
      </c>
    </row>
    <row r="224" spans="1:4" x14ac:dyDescent="0.25">
      <c r="A224" s="3">
        <v>44318</v>
      </c>
      <c r="B224" s="2" t="s">
        <v>7</v>
      </c>
      <c r="C224" s="2" t="s">
        <v>11</v>
      </c>
      <c r="D224" s="4">
        <v>2500</v>
      </c>
    </row>
    <row r="225" spans="1:4" x14ac:dyDescent="0.25">
      <c r="A225" s="3">
        <v>44319</v>
      </c>
      <c r="B225" s="2" t="s">
        <v>8</v>
      </c>
      <c r="C225" s="2" t="s">
        <v>13</v>
      </c>
      <c r="D225" s="4">
        <v>5400</v>
      </c>
    </row>
    <row r="226" spans="1:4" x14ac:dyDescent="0.25">
      <c r="A226" s="3">
        <v>44319</v>
      </c>
      <c r="B226" s="2" t="s">
        <v>5</v>
      </c>
      <c r="C226" s="2" t="s">
        <v>13</v>
      </c>
      <c r="D226" s="4">
        <v>5400</v>
      </c>
    </row>
    <row r="227" spans="1:4" x14ac:dyDescent="0.25">
      <c r="A227" s="3">
        <v>44320</v>
      </c>
      <c r="B227" s="2" t="s">
        <v>3</v>
      </c>
      <c r="C227" s="2" t="s">
        <v>15</v>
      </c>
      <c r="D227" s="4">
        <v>1200</v>
      </c>
    </row>
    <row r="228" spans="1:4" x14ac:dyDescent="0.25">
      <c r="A228" s="3">
        <v>44320</v>
      </c>
      <c r="B228" s="2" t="s">
        <v>5</v>
      </c>
      <c r="C228" s="2" t="s">
        <v>13</v>
      </c>
      <c r="D228" s="4">
        <v>5400</v>
      </c>
    </row>
    <row r="229" spans="1:4" x14ac:dyDescent="0.25">
      <c r="A229" s="3">
        <v>44320</v>
      </c>
      <c r="B229" s="2" t="s">
        <v>5</v>
      </c>
      <c r="C229" s="2" t="s">
        <v>10</v>
      </c>
      <c r="D229" s="4">
        <v>600</v>
      </c>
    </row>
    <row r="230" spans="1:4" x14ac:dyDescent="0.25">
      <c r="A230" s="3">
        <v>44321</v>
      </c>
      <c r="B230" s="2" t="s">
        <v>7</v>
      </c>
      <c r="C230" s="2" t="s">
        <v>12</v>
      </c>
      <c r="D230" s="4">
        <v>8000</v>
      </c>
    </row>
    <row r="231" spans="1:4" x14ac:dyDescent="0.25">
      <c r="A231" s="3">
        <v>44322</v>
      </c>
      <c r="B231" s="2" t="s">
        <v>4</v>
      </c>
      <c r="C231" s="2" t="s">
        <v>11</v>
      </c>
      <c r="D231" s="4">
        <v>2500</v>
      </c>
    </row>
    <row r="232" spans="1:4" x14ac:dyDescent="0.25">
      <c r="A232" s="3">
        <v>44322</v>
      </c>
      <c r="B232" s="2" t="s">
        <v>6</v>
      </c>
      <c r="C232" s="2" t="s">
        <v>14</v>
      </c>
      <c r="D232" s="4">
        <v>3200</v>
      </c>
    </row>
    <row r="233" spans="1:4" x14ac:dyDescent="0.25">
      <c r="A233" s="3">
        <v>44324</v>
      </c>
      <c r="B233" s="2" t="s">
        <v>5</v>
      </c>
      <c r="C233" s="2" t="s">
        <v>13</v>
      </c>
      <c r="D233" s="4">
        <v>5400</v>
      </c>
    </row>
    <row r="234" spans="1:4" x14ac:dyDescent="0.25">
      <c r="A234" s="3">
        <v>44324</v>
      </c>
      <c r="B234" s="2" t="s">
        <v>8</v>
      </c>
      <c r="C234" s="2" t="s">
        <v>13</v>
      </c>
      <c r="D234" s="4">
        <v>5400</v>
      </c>
    </row>
    <row r="235" spans="1:4" x14ac:dyDescent="0.25">
      <c r="A235" s="3">
        <v>44324</v>
      </c>
      <c r="B235" s="2" t="s">
        <v>3</v>
      </c>
      <c r="C235" s="2" t="s">
        <v>13</v>
      </c>
      <c r="D235" s="4">
        <v>5400</v>
      </c>
    </row>
    <row r="236" spans="1:4" x14ac:dyDescent="0.25">
      <c r="A236" s="3">
        <v>44324</v>
      </c>
      <c r="B236" s="2" t="s">
        <v>3</v>
      </c>
      <c r="C236" s="2" t="s">
        <v>11</v>
      </c>
      <c r="D236" s="4">
        <v>2500</v>
      </c>
    </row>
    <row r="237" spans="1:4" x14ac:dyDescent="0.25">
      <c r="A237" s="3">
        <v>44325</v>
      </c>
      <c r="B237" s="2" t="s">
        <v>8</v>
      </c>
      <c r="C237" s="2" t="s">
        <v>13</v>
      </c>
      <c r="D237" s="4">
        <v>5400</v>
      </c>
    </row>
    <row r="238" spans="1:4" x14ac:dyDescent="0.25">
      <c r="A238" s="3">
        <v>44326</v>
      </c>
      <c r="B238" s="2" t="s">
        <v>4</v>
      </c>
      <c r="C238" s="2" t="s">
        <v>15</v>
      </c>
      <c r="D238" s="4">
        <v>1200</v>
      </c>
    </row>
    <row r="239" spans="1:4" x14ac:dyDescent="0.25">
      <c r="A239" s="3">
        <v>44326</v>
      </c>
      <c r="B239" s="2" t="s">
        <v>3</v>
      </c>
      <c r="C239" s="2" t="s">
        <v>15</v>
      </c>
      <c r="D239" s="4">
        <v>1200</v>
      </c>
    </row>
    <row r="240" spans="1:4" x14ac:dyDescent="0.25">
      <c r="A240" s="3">
        <v>44327</v>
      </c>
      <c r="B240" s="2" t="s">
        <v>4</v>
      </c>
      <c r="C240" s="2" t="s">
        <v>12</v>
      </c>
      <c r="D240" s="4">
        <v>8000</v>
      </c>
    </row>
    <row r="241" spans="1:4" x14ac:dyDescent="0.25">
      <c r="A241" s="3">
        <v>44327</v>
      </c>
      <c r="B241" s="2" t="s">
        <v>4</v>
      </c>
      <c r="C241" s="2" t="s">
        <v>15</v>
      </c>
      <c r="D241" s="4">
        <v>1200</v>
      </c>
    </row>
    <row r="242" spans="1:4" x14ac:dyDescent="0.25">
      <c r="A242" s="3">
        <v>44328</v>
      </c>
      <c r="B242" s="2" t="s">
        <v>4</v>
      </c>
      <c r="C242" s="2" t="s">
        <v>10</v>
      </c>
      <c r="D242" s="4">
        <v>600</v>
      </c>
    </row>
    <row r="243" spans="1:4" x14ac:dyDescent="0.25">
      <c r="A243" s="3">
        <v>44328</v>
      </c>
      <c r="B243" s="2" t="s">
        <v>7</v>
      </c>
      <c r="C243" s="2" t="s">
        <v>15</v>
      </c>
      <c r="D243" s="4">
        <v>1200</v>
      </c>
    </row>
    <row r="244" spans="1:4" x14ac:dyDescent="0.25">
      <c r="A244" s="3">
        <v>44329</v>
      </c>
      <c r="B244" s="2" t="s">
        <v>3</v>
      </c>
      <c r="C244" s="2" t="s">
        <v>15</v>
      </c>
      <c r="D244" s="4">
        <v>1200</v>
      </c>
    </row>
    <row r="245" spans="1:4" x14ac:dyDescent="0.25">
      <c r="A245" s="3">
        <v>44329</v>
      </c>
      <c r="B245" s="2" t="s">
        <v>3</v>
      </c>
      <c r="C245" s="2" t="s">
        <v>13</v>
      </c>
      <c r="D245" s="4">
        <v>5400</v>
      </c>
    </row>
    <row r="246" spans="1:4" x14ac:dyDescent="0.25">
      <c r="A246" s="3">
        <v>44329</v>
      </c>
      <c r="B246" s="2" t="s">
        <v>7</v>
      </c>
      <c r="C246" s="2" t="s">
        <v>14</v>
      </c>
      <c r="D246" s="4">
        <v>3200</v>
      </c>
    </row>
    <row r="247" spans="1:4" x14ac:dyDescent="0.25">
      <c r="A247" s="3">
        <v>44330</v>
      </c>
      <c r="B247" s="2" t="s">
        <v>8</v>
      </c>
      <c r="C247" s="2" t="s">
        <v>15</v>
      </c>
      <c r="D247" s="4">
        <v>1200</v>
      </c>
    </row>
    <row r="248" spans="1:4" x14ac:dyDescent="0.25">
      <c r="A248" s="3">
        <v>44331</v>
      </c>
      <c r="B248" s="2" t="s">
        <v>5</v>
      </c>
      <c r="C248" s="2" t="s">
        <v>10</v>
      </c>
      <c r="D248" s="4">
        <v>600</v>
      </c>
    </row>
    <row r="249" spans="1:4" x14ac:dyDescent="0.25">
      <c r="A249" s="3">
        <v>44331</v>
      </c>
      <c r="B249" s="2" t="s">
        <v>6</v>
      </c>
      <c r="C249" s="2" t="s">
        <v>15</v>
      </c>
      <c r="D249" s="4">
        <v>1200</v>
      </c>
    </row>
    <row r="250" spans="1:4" x14ac:dyDescent="0.25">
      <c r="A250" s="3">
        <v>44332</v>
      </c>
      <c r="B250" s="2" t="s">
        <v>6</v>
      </c>
      <c r="C250" s="2" t="s">
        <v>11</v>
      </c>
      <c r="D250" s="4">
        <v>2500</v>
      </c>
    </row>
    <row r="251" spans="1:4" x14ac:dyDescent="0.25">
      <c r="A251" s="3">
        <v>44332</v>
      </c>
      <c r="B251" s="2" t="s">
        <v>7</v>
      </c>
      <c r="C251" s="2" t="s">
        <v>13</v>
      </c>
      <c r="D251" s="4">
        <v>5400</v>
      </c>
    </row>
    <row r="252" spans="1:4" x14ac:dyDescent="0.25">
      <c r="A252" s="3">
        <v>44333</v>
      </c>
      <c r="B252" s="2" t="s">
        <v>6</v>
      </c>
      <c r="C252" s="2" t="s">
        <v>13</v>
      </c>
      <c r="D252" s="4">
        <v>5400</v>
      </c>
    </row>
    <row r="253" spans="1:4" x14ac:dyDescent="0.25">
      <c r="A253" s="3">
        <v>44333</v>
      </c>
      <c r="B253" s="2" t="s">
        <v>6</v>
      </c>
      <c r="C253" s="2" t="s">
        <v>12</v>
      </c>
      <c r="D253" s="4">
        <v>8000</v>
      </c>
    </row>
    <row r="254" spans="1:4" x14ac:dyDescent="0.25">
      <c r="A254" s="3">
        <v>44336</v>
      </c>
      <c r="B254" s="2" t="s">
        <v>3</v>
      </c>
      <c r="C254" s="2" t="s">
        <v>15</v>
      </c>
      <c r="D254" s="4">
        <v>1200</v>
      </c>
    </row>
    <row r="255" spans="1:4" x14ac:dyDescent="0.25">
      <c r="A255" s="3">
        <v>44337</v>
      </c>
      <c r="B255" s="2" t="s">
        <v>7</v>
      </c>
      <c r="C255" s="2" t="s">
        <v>10</v>
      </c>
      <c r="D255" s="4">
        <v>600</v>
      </c>
    </row>
    <row r="256" spans="1:4" x14ac:dyDescent="0.25">
      <c r="A256" s="3">
        <v>44337</v>
      </c>
      <c r="B256" s="2" t="s">
        <v>8</v>
      </c>
      <c r="C256" s="2" t="s">
        <v>12</v>
      </c>
      <c r="D256" s="4">
        <v>8000</v>
      </c>
    </row>
    <row r="257" spans="1:4" x14ac:dyDescent="0.25">
      <c r="A257" s="3">
        <v>44338</v>
      </c>
      <c r="B257" s="2" t="s">
        <v>4</v>
      </c>
      <c r="C257" s="2" t="s">
        <v>15</v>
      </c>
      <c r="D257" s="4">
        <v>1200</v>
      </c>
    </row>
    <row r="258" spans="1:4" x14ac:dyDescent="0.25">
      <c r="A258" s="3">
        <v>44338</v>
      </c>
      <c r="B258" s="2" t="s">
        <v>6</v>
      </c>
      <c r="C258" s="2" t="s">
        <v>14</v>
      </c>
      <c r="D258" s="4">
        <v>3200</v>
      </c>
    </row>
    <row r="259" spans="1:4" x14ac:dyDescent="0.25">
      <c r="A259" s="3">
        <v>44338</v>
      </c>
      <c r="B259" s="2" t="s">
        <v>3</v>
      </c>
      <c r="C259" s="2" t="s">
        <v>11</v>
      </c>
      <c r="D259" s="4">
        <v>2500</v>
      </c>
    </row>
    <row r="260" spans="1:4" x14ac:dyDescent="0.25">
      <c r="A260" s="3">
        <v>44338</v>
      </c>
      <c r="B260" s="2" t="s">
        <v>3</v>
      </c>
      <c r="C260" s="2" t="s">
        <v>14</v>
      </c>
      <c r="D260" s="4">
        <v>3200</v>
      </c>
    </row>
    <row r="261" spans="1:4" x14ac:dyDescent="0.25">
      <c r="A261" s="3">
        <v>44339</v>
      </c>
      <c r="B261" s="2" t="s">
        <v>5</v>
      </c>
      <c r="C261" s="2" t="s">
        <v>15</v>
      </c>
      <c r="D261" s="4">
        <v>1200</v>
      </c>
    </row>
    <row r="262" spans="1:4" x14ac:dyDescent="0.25">
      <c r="A262" s="3">
        <v>44339</v>
      </c>
      <c r="B262" s="2" t="s">
        <v>5</v>
      </c>
      <c r="C262" s="2" t="s">
        <v>12</v>
      </c>
      <c r="D262" s="4">
        <v>8000</v>
      </c>
    </row>
    <row r="263" spans="1:4" x14ac:dyDescent="0.25">
      <c r="A263" s="3">
        <v>44340</v>
      </c>
      <c r="B263" s="2" t="s">
        <v>7</v>
      </c>
      <c r="C263" s="2" t="s">
        <v>13</v>
      </c>
      <c r="D263" s="4">
        <v>5400</v>
      </c>
    </row>
    <row r="264" spans="1:4" x14ac:dyDescent="0.25">
      <c r="A264" s="3">
        <v>44340</v>
      </c>
      <c r="B264" s="2" t="s">
        <v>5</v>
      </c>
      <c r="C264" s="2" t="s">
        <v>13</v>
      </c>
      <c r="D264" s="4">
        <v>5400</v>
      </c>
    </row>
    <row r="265" spans="1:4" x14ac:dyDescent="0.25">
      <c r="A265" s="3">
        <v>44341</v>
      </c>
      <c r="B265" s="2" t="s">
        <v>7</v>
      </c>
      <c r="C265" s="2" t="s">
        <v>13</v>
      </c>
      <c r="D265" s="4">
        <v>5400</v>
      </c>
    </row>
    <row r="266" spans="1:4" x14ac:dyDescent="0.25">
      <c r="A266" s="3">
        <v>44341</v>
      </c>
      <c r="B266" s="2" t="s">
        <v>7</v>
      </c>
      <c r="C266" s="2" t="s">
        <v>15</v>
      </c>
      <c r="D266" s="4">
        <v>1200</v>
      </c>
    </row>
    <row r="267" spans="1:4" x14ac:dyDescent="0.25">
      <c r="A267" s="3">
        <v>44341</v>
      </c>
      <c r="B267" s="2" t="s">
        <v>5</v>
      </c>
      <c r="C267" s="2" t="s">
        <v>13</v>
      </c>
      <c r="D267" s="4">
        <v>5400</v>
      </c>
    </row>
    <row r="268" spans="1:4" x14ac:dyDescent="0.25">
      <c r="A268" s="3">
        <v>44342</v>
      </c>
      <c r="B268" s="2" t="s">
        <v>4</v>
      </c>
      <c r="C268" s="2" t="s">
        <v>11</v>
      </c>
      <c r="D268" s="4">
        <v>2500</v>
      </c>
    </row>
    <row r="269" spans="1:4" x14ac:dyDescent="0.25">
      <c r="A269" s="3">
        <v>44342</v>
      </c>
      <c r="B269" s="2" t="s">
        <v>6</v>
      </c>
      <c r="C269" s="2" t="s">
        <v>13</v>
      </c>
      <c r="D269" s="4">
        <v>5400</v>
      </c>
    </row>
    <row r="270" spans="1:4" x14ac:dyDescent="0.25">
      <c r="A270" s="3">
        <v>44342</v>
      </c>
      <c r="B270" s="2" t="s">
        <v>6</v>
      </c>
      <c r="C270" s="2" t="s">
        <v>11</v>
      </c>
      <c r="D270" s="4">
        <v>2500</v>
      </c>
    </row>
    <row r="271" spans="1:4" x14ac:dyDescent="0.25">
      <c r="A271" s="3">
        <v>44342</v>
      </c>
      <c r="B271" s="2" t="s">
        <v>6</v>
      </c>
      <c r="C271" s="2" t="s">
        <v>12</v>
      </c>
      <c r="D271" s="4">
        <v>8000</v>
      </c>
    </row>
    <row r="272" spans="1:4" x14ac:dyDescent="0.25">
      <c r="A272" s="3">
        <v>44344</v>
      </c>
      <c r="B272" s="2" t="s">
        <v>7</v>
      </c>
      <c r="C272" s="2" t="s">
        <v>13</v>
      </c>
      <c r="D272" s="4">
        <v>5400</v>
      </c>
    </row>
    <row r="273" spans="1:4" x14ac:dyDescent="0.25">
      <c r="A273" s="3">
        <v>44344</v>
      </c>
      <c r="B273" s="2" t="s">
        <v>4</v>
      </c>
      <c r="C273" s="2" t="s">
        <v>15</v>
      </c>
      <c r="D273" s="4">
        <v>1200</v>
      </c>
    </row>
    <row r="274" spans="1:4" x14ac:dyDescent="0.25">
      <c r="A274" s="3">
        <v>44344</v>
      </c>
      <c r="B274" s="2" t="s">
        <v>7</v>
      </c>
      <c r="C274" s="2" t="s">
        <v>14</v>
      </c>
      <c r="D274" s="4">
        <v>3200</v>
      </c>
    </row>
    <row r="275" spans="1:4" x14ac:dyDescent="0.25">
      <c r="A275" s="3">
        <v>44345</v>
      </c>
      <c r="B275" s="2" t="s">
        <v>8</v>
      </c>
      <c r="C275" s="2" t="s">
        <v>13</v>
      </c>
      <c r="D275" s="4">
        <v>5400</v>
      </c>
    </row>
    <row r="276" spans="1:4" x14ac:dyDescent="0.25">
      <c r="A276" s="3">
        <v>44347</v>
      </c>
      <c r="B276" s="2" t="s">
        <v>3</v>
      </c>
      <c r="C276" s="2" t="s">
        <v>14</v>
      </c>
      <c r="D276" s="4">
        <v>3200</v>
      </c>
    </row>
    <row r="277" spans="1:4" x14ac:dyDescent="0.25">
      <c r="A277" s="3">
        <v>44347</v>
      </c>
      <c r="B277" s="2" t="s">
        <v>4</v>
      </c>
      <c r="C277" s="2" t="s">
        <v>11</v>
      </c>
      <c r="D277" s="4">
        <v>2500</v>
      </c>
    </row>
    <row r="278" spans="1:4" x14ac:dyDescent="0.25">
      <c r="A278" s="3">
        <v>44347</v>
      </c>
      <c r="B278" s="2" t="s">
        <v>7</v>
      </c>
      <c r="C278" s="2" t="s">
        <v>13</v>
      </c>
      <c r="D278" s="4">
        <v>5400</v>
      </c>
    </row>
    <row r="279" spans="1:4" x14ac:dyDescent="0.25">
      <c r="A279" s="3">
        <v>44347</v>
      </c>
      <c r="B279" s="2" t="s">
        <v>5</v>
      </c>
      <c r="C279" s="2" t="s">
        <v>11</v>
      </c>
      <c r="D279" s="4">
        <v>2500</v>
      </c>
    </row>
    <row r="280" spans="1:4" x14ac:dyDescent="0.25">
      <c r="A280" s="3">
        <v>44347</v>
      </c>
      <c r="B280" s="2" t="s">
        <v>7</v>
      </c>
      <c r="C280" s="2" t="s">
        <v>15</v>
      </c>
      <c r="D280" s="4">
        <v>1200</v>
      </c>
    </row>
    <row r="281" spans="1:4" x14ac:dyDescent="0.25">
      <c r="A281" s="3">
        <v>44348</v>
      </c>
      <c r="B281" s="2" t="s">
        <v>7</v>
      </c>
      <c r="C281" s="2" t="s">
        <v>12</v>
      </c>
      <c r="D281" s="4">
        <v>8000</v>
      </c>
    </row>
    <row r="282" spans="1:4" x14ac:dyDescent="0.25">
      <c r="A282" s="3">
        <v>44348</v>
      </c>
      <c r="B282" s="2" t="s">
        <v>5</v>
      </c>
      <c r="C282" s="2" t="s">
        <v>15</v>
      </c>
      <c r="D282" s="4">
        <v>1200</v>
      </c>
    </row>
    <row r="283" spans="1:4" x14ac:dyDescent="0.25">
      <c r="A283" s="3">
        <v>44349</v>
      </c>
      <c r="B283" s="2" t="s">
        <v>4</v>
      </c>
      <c r="C283" s="2" t="s">
        <v>11</v>
      </c>
      <c r="D283" s="4">
        <v>2500</v>
      </c>
    </row>
    <row r="284" spans="1:4" x14ac:dyDescent="0.25">
      <c r="A284" s="3">
        <v>44351</v>
      </c>
      <c r="B284" s="2" t="s">
        <v>6</v>
      </c>
      <c r="C284" s="2" t="s">
        <v>10</v>
      </c>
      <c r="D284" s="4">
        <v>600</v>
      </c>
    </row>
    <row r="285" spans="1:4" x14ac:dyDescent="0.25">
      <c r="A285" s="3">
        <v>44352</v>
      </c>
      <c r="B285" s="2" t="s">
        <v>8</v>
      </c>
      <c r="C285" s="2" t="s">
        <v>11</v>
      </c>
      <c r="D285" s="4">
        <v>2500</v>
      </c>
    </row>
    <row r="286" spans="1:4" x14ac:dyDescent="0.25">
      <c r="A286" s="3">
        <v>44353</v>
      </c>
      <c r="B286" s="2" t="s">
        <v>5</v>
      </c>
      <c r="C286" s="2" t="s">
        <v>10</v>
      </c>
      <c r="D286" s="4">
        <v>600</v>
      </c>
    </row>
    <row r="287" spans="1:4" x14ac:dyDescent="0.25">
      <c r="A287" s="3">
        <v>44354</v>
      </c>
      <c r="B287" s="2" t="s">
        <v>6</v>
      </c>
      <c r="C287" s="2" t="s">
        <v>10</v>
      </c>
      <c r="D287" s="4">
        <v>600</v>
      </c>
    </row>
    <row r="288" spans="1:4" x14ac:dyDescent="0.25">
      <c r="A288" s="3">
        <v>44354</v>
      </c>
      <c r="B288" s="2" t="s">
        <v>7</v>
      </c>
      <c r="C288" s="2" t="s">
        <v>13</v>
      </c>
      <c r="D288" s="4">
        <v>5400</v>
      </c>
    </row>
    <row r="289" spans="1:4" x14ac:dyDescent="0.25">
      <c r="A289" s="3">
        <v>44355</v>
      </c>
      <c r="B289" s="2" t="s">
        <v>7</v>
      </c>
      <c r="C289" s="2" t="s">
        <v>11</v>
      </c>
      <c r="D289" s="4">
        <v>2500</v>
      </c>
    </row>
    <row r="290" spans="1:4" x14ac:dyDescent="0.25">
      <c r="A290" s="3">
        <v>44356</v>
      </c>
      <c r="B290" s="2" t="s">
        <v>6</v>
      </c>
      <c r="C290" s="2" t="s">
        <v>14</v>
      </c>
      <c r="D290" s="4">
        <v>3200</v>
      </c>
    </row>
    <row r="291" spans="1:4" x14ac:dyDescent="0.25">
      <c r="A291" s="3">
        <v>44357</v>
      </c>
      <c r="B291" s="2" t="s">
        <v>6</v>
      </c>
      <c r="C291" s="2" t="s">
        <v>15</v>
      </c>
      <c r="D291" s="4">
        <v>1200</v>
      </c>
    </row>
    <row r="292" spans="1:4" x14ac:dyDescent="0.25">
      <c r="A292" s="3">
        <v>44357</v>
      </c>
      <c r="B292" s="2" t="s">
        <v>6</v>
      </c>
      <c r="C292" s="2" t="s">
        <v>10</v>
      </c>
      <c r="D292" s="4">
        <v>600</v>
      </c>
    </row>
    <row r="293" spans="1:4" x14ac:dyDescent="0.25">
      <c r="A293" s="3">
        <v>44357</v>
      </c>
      <c r="B293" s="2" t="s">
        <v>4</v>
      </c>
      <c r="C293" s="2" t="s">
        <v>10</v>
      </c>
      <c r="D293" s="4">
        <v>600</v>
      </c>
    </row>
    <row r="294" spans="1:4" x14ac:dyDescent="0.25">
      <c r="A294" s="3">
        <v>44357</v>
      </c>
      <c r="B294" s="2" t="s">
        <v>5</v>
      </c>
      <c r="C294" s="2" t="s">
        <v>12</v>
      </c>
      <c r="D294" s="4">
        <v>8000</v>
      </c>
    </row>
    <row r="295" spans="1:4" x14ac:dyDescent="0.25">
      <c r="A295" s="3">
        <v>44358</v>
      </c>
      <c r="B295" s="2" t="s">
        <v>5</v>
      </c>
      <c r="C295" s="2" t="s">
        <v>11</v>
      </c>
      <c r="D295" s="4">
        <v>2500</v>
      </c>
    </row>
    <row r="296" spans="1:4" x14ac:dyDescent="0.25">
      <c r="A296" s="3">
        <v>44358</v>
      </c>
      <c r="B296" s="2" t="s">
        <v>7</v>
      </c>
      <c r="C296" s="2" t="s">
        <v>11</v>
      </c>
      <c r="D296" s="4">
        <v>2500</v>
      </c>
    </row>
    <row r="297" spans="1:4" x14ac:dyDescent="0.25">
      <c r="A297" s="3">
        <v>44359</v>
      </c>
      <c r="B297" s="2" t="s">
        <v>3</v>
      </c>
      <c r="C297" s="2" t="s">
        <v>15</v>
      </c>
      <c r="D297" s="4">
        <v>1200</v>
      </c>
    </row>
    <row r="298" spans="1:4" x14ac:dyDescent="0.25">
      <c r="A298" s="3">
        <v>44359</v>
      </c>
      <c r="B298" s="2" t="s">
        <v>6</v>
      </c>
      <c r="C298" s="2" t="s">
        <v>12</v>
      </c>
      <c r="D298" s="4">
        <v>8000</v>
      </c>
    </row>
    <row r="299" spans="1:4" x14ac:dyDescent="0.25">
      <c r="A299" s="3">
        <v>44360</v>
      </c>
      <c r="B299" s="2" t="s">
        <v>3</v>
      </c>
      <c r="C299" s="2" t="s">
        <v>11</v>
      </c>
      <c r="D299" s="4">
        <v>2500</v>
      </c>
    </row>
    <row r="300" spans="1:4" x14ac:dyDescent="0.25">
      <c r="A300" s="3">
        <v>44360</v>
      </c>
      <c r="B300" s="2" t="s">
        <v>4</v>
      </c>
      <c r="C300" s="2" t="s">
        <v>10</v>
      </c>
      <c r="D300" s="4">
        <v>600</v>
      </c>
    </row>
    <row r="301" spans="1:4" x14ac:dyDescent="0.25">
      <c r="A301" s="3">
        <v>44361</v>
      </c>
      <c r="B301" s="2" t="s">
        <v>5</v>
      </c>
      <c r="C301" s="2" t="s">
        <v>13</v>
      </c>
      <c r="D301" s="4">
        <v>5400</v>
      </c>
    </row>
    <row r="302" spans="1:4" x14ac:dyDescent="0.25">
      <c r="A302" s="3">
        <v>44361</v>
      </c>
      <c r="B302" s="2" t="s">
        <v>4</v>
      </c>
      <c r="C302" s="2" t="s">
        <v>13</v>
      </c>
      <c r="D302" s="4">
        <v>5400</v>
      </c>
    </row>
    <row r="303" spans="1:4" x14ac:dyDescent="0.25">
      <c r="A303" s="3">
        <v>44362</v>
      </c>
      <c r="B303" s="2" t="s">
        <v>3</v>
      </c>
      <c r="C303" s="2" t="s">
        <v>12</v>
      </c>
      <c r="D303" s="4">
        <v>8000</v>
      </c>
    </row>
    <row r="304" spans="1:4" x14ac:dyDescent="0.25">
      <c r="A304" s="3">
        <v>44362</v>
      </c>
      <c r="B304" s="2" t="s">
        <v>3</v>
      </c>
      <c r="C304" s="2" t="s">
        <v>15</v>
      </c>
      <c r="D304" s="4">
        <v>1200</v>
      </c>
    </row>
    <row r="305" spans="1:4" x14ac:dyDescent="0.25">
      <c r="A305" s="3">
        <v>44362</v>
      </c>
      <c r="B305" s="2" t="s">
        <v>4</v>
      </c>
      <c r="C305" s="2" t="s">
        <v>10</v>
      </c>
      <c r="D305" s="4">
        <v>600</v>
      </c>
    </row>
    <row r="306" spans="1:4" x14ac:dyDescent="0.25">
      <c r="A306" s="3">
        <v>44362</v>
      </c>
      <c r="B306" s="2" t="s">
        <v>6</v>
      </c>
      <c r="C306" s="2" t="s">
        <v>14</v>
      </c>
      <c r="D306" s="4">
        <v>3200</v>
      </c>
    </row>
    <row r="307" spans="1:4" x14ac:dyDescent="0.25">
      <c r="A307" s="3">
        <v>44364</v>
      </c>
      <c r="B307" s="2" t="s">
        <v>7</v>
      </c>
      <c r="C307" s="2" t="s">
        <v>14</v>
      </c>
      <c r="D307" s="4">
        <v>3200</v>
      </c>
    </row>
    <row r="308" spans="1:4" x14ac:dyDescent="0.25">
      <c r="A308" s="3">
        <v>44364</v>
      </c>
      <c r="B308" s="2" t="s">
        <v>7</v>
      </c>
      <c r="C308" s="2" t="s">
        <v>10</v>
      </c>
      <c r="D308" s="4">
        <v>600</v>
      </c>
    </row>
    <row r="309" spans="1:4" x14ac:dyDescent="0.25">
      <c r="A309" s="3">
        <v>44364</v>
      </c>
      <c r="B309" s="2" t="s">
        <v>3</v>
      </c>
      <c r="C309" s="2" t="s">
        <v>12</v>
      </c>
      <c r="D309" s="4">
        <v>8000</v>
      </c>
    </row>
    <row r="310" spans="1:4" x14ac:dyDescent="0.25">
      <c r="A310" s="3">
        <v>44365</v>
      </c>
      <c r="B310" s="2" t="s">
        <v>5</v>
      </c>
      <c r="C310" s="2" t="s">
        <v>10</v>
      </c>
      <c r="D310" s="4">
        <v>600</v>
      </c>
    </row>
    <row r="311" spans="1:4" x14ac:dyDescent="0.25">
      <c r="A311" s="3">
        <v>44365</v>
      </c>
      <c r="B311" s="2" t="s">
        <v>4</v>
      </c>
      <c r="C311" s="2" t="s">
        <v>14</v>
      </c>
      <c r="D311" s="4">
        <v>3200</v>
      </c>
    </row>
    <row r="312" spans="1:4" x14ac:dyDescent="0.25">
      <c r="A312" s="3">
        <v>44365</v>
      </c>
      <c r="B312" s="2" t="s">
        <v>3</v>
      </c>
      <c r="C312" s="2" t="s">
        <v>13</v>
      </c>
      <c r="D312" s="4">
        <v>5400</v>
      </c>
    </row>
    <row r="313" spans="1:4" x14ac:dyDescent="0.25">
      <c r="A313" s="3">
        <v>44366</v>
      </c>
      <c r="B313" s="2" t="s">
        <v>4</v>
      </c>
      <c r="C313" s="2" t="s">
        <v>13</v>
      </c>
      <c r="D313" s="4">
        <v>5400</v>
      </c>
    </row>
    <row r="314" spans="1:4" x14ac:dyDescent="0.25">
      <c r="A314" s="3">
        <v>44366</v>
      </c>
      <c r="B314" s="2" t="s">
        <v>6</v>
      </c>
      <c r="C314" s="2" t="s">
        <v>13</v>
      </c>
      <c r="D314" s="4">
        <v>5400</v>
      </c>
    </row>
    <row r="315" spans="1:4" x14ac:dyDescent="0.25">
      <c r="A315" s="3">
        <v>44367</v>
      </c>
      <c r="B315" s="2" t="s">
        <v>8</v>
      </c>
      <c r="C315" s="2" t="s">
        <v>10</v>
      </c>
      <c r="D315" s="4">
        <v>600</v>
      </c>
    </row>
    <row r="316" spans="1:4" x14ac:dyDescent="0.25">
      <c r="A316" s="3">
        <v>44367</v>
      </c>
      <c r="B316" s="2" t="s">
        <v>5</v>
      </c>
      <c r="C316" s="2" t="s">
        <v>14</v>
      </c>
      <c r="D316" s="4">
        <v>3200</v>
      </c>
    </row>
    <row r="317" spans="1:4" x14ac:dyDescent="0.25">
      <c r="A317" s="3">
        <v>44368</v>
      </c>
      <c r="B317" s="2" t="s">
        <v>6</v>
      </c>
      <c r="C317" s="2" t="s">
        <v>13</v>
      </c>
      <c r="D317" s="4">
        <v>5400</v>
      </c>
    </row>
    <row r="318" spans="1:4" x14ac:dyDescent="0.25">
      <c r="A318" s="3">
        <v>44369</v>
      </c>
      <c r="B318" s="2" t="s">
        <v>7</v>
      </c>
      <c r="C318" s="2" t="s">
        <v>15</v>
      </c>
      <c r="D318" s="4">
        <v>1200</v>
      </c>
    </row>
    <row r="319" spans="1:4" x14ac:dyDescent="0.25">
      <c r="A319" s="3">
        <v>44369</v>
      </c>
      <c r="B319" s="2" t="s">
        <v>4</v>
      </c>
      <c r="C319" s="2" t="s">
        <v>11</v>
      </c>
      <c r="D319" s="4">
        <v>2500</v>
      </c>
    </row>
    <row r="320" spans="1:4" x14ac:dyDescent="0.25">
      <c r="A320" s="3">
        <v>44369</v>
      </c>
      <c r="B320" s="2" t="s">
        <v>6</v>
      </c>
      <c r="C320" s="2" t="s">
        <v>13</v>
      </c>
      <c r="D320" s="4">
        <v>5400</v>
      </c>
    </row>
    <row r="321" spans="1:4" x14ac:dyDescent="0.25">
      <c r="A321" s="3">
        <v>44369</v>
      </c>
      <c r="B321" s="2" t="s">
        <v>3</v>
      </c>
      <c r="C321" s="2" t="s">
        <v>11</v>
      </c>
      <c r="D321" s="4">
        <v>2500</v>
      </c>
    </row>
    <row r="322" spans="1:4" x14ac:dyDescent="0.25">
      <c r="A322" s="3">
        <v>44371</v>
      </c>
      <c r="B322" s="2" t="s">
        <v>4</v>
      </c>
      <c r="C322" s="2" t="s">
        <v>14</v>
      </c>
      <c r="D322" s="4">
        <v>3200</v>
      </c>
    </row>
    <row r="323" spans="1:4" x14ac:dyDescent="0.25">
      <c r="A323" s="3">
        <v>44372</v>
      </c>
      <c r="B323" s="2" t="s">
        <v>3</v>
      </c>
      <c r="C323" s="2" t="s">
        <v>15</v>
      </c>
      <c r="D323" s="4">
        <v>1200</v>
      </c>
    </row>
    <row r="324" spans="1:4" x14ac:dyDescent="0.25">
      <c r="A324" s="3">
        <v>44372</v>
      </c>
      <c r="B324" s="2" t="s">
        <v>7</v>
      </c>
      <c r="C324" s="2" t="s">
        <v>11</v>
      </c>
      <c r="D324" s="4">
        <v>2500</v>
      </c>
    </row>
    <row r="325" spans="1:4" x14ac:dyDescent="0.25">
      <c r="A325" s="3">
        <v>44372</v>
      </c>
      <c r="B325" s="2" t="s">
        <v>8</v>
      </c>
      <c r="C325" s="2" t="s">
        <v>15</v>
      </c>
      <c r="D325" s="4">
        <v>1200</v>
      </c>
    </row>
    <row r="326" spans="1:4" x14ac:dyDescent="0.25">
      <c r="A326" s="3">
        <v>44372</v>
      </c>
      <c r="B326" s="2" t="s">
        <v>5</v>
      </c>
      <c r="C326" s="2" t="s">
        <v>11</v>
      </c>
      <c r="D326" s="4">
        <v>2500</v>
      </c>
    </row>
    <row r="327" spans="1:4" x14ac:dyDescent="0.25">
      <c r="A327" s="3">
        <v>44372</v>
      </c>
      <c r="B327" s="2" t="s">
        <v>3</v>
      </c>
      <c r="C327" s="2" t="s">
        <v>10</v>
      </c>
      <c r="D327" s="4">
        <v>600</v>
      </c>
    </row>
    <row r="328" spans="1:4" x14ac:dyDescent="0.25">
      <c r="A328" s="3">
        <v>44372</v>
      </c>
      <c r="B328" s="2" t="s">
        <v>8</v>
      </c>
      <c r="C328" s="2" t="s">
        <v>10</v>
      </c>
      <c r="D328" s="4">
        <v>600</v>
      </c>
    </row>
    <row r="329" spans="1:4" x14ac:dyDescent="0.25">
      <c r="A329" s="3">
        <v>44374</v>
      </c>
      <c r="B329" s="2" t="s">
        <v>6</v>
      </c>
      <c r="C329" s="2" t="s">
        <v>15</v>
      </c>
      <c r="D329" s="4">
        <v>1200</v>
      </c>
    </row>
    <row r="330" spans="1:4" x14ac:dyDescent="0.25">
      <c r="A330" s="3">
        <v>44374</v>
      </c>
      <c r="B330" s="2" t="s">
        <v>4</v>
      </c>
      <c r="C330" s="2" t="s">
        <v>10</v>
      </c>
      <c r="D330" s="4">
        <v>600</v>
      </c>
    </row>
    <row r="331" spans="1:4" x14ac:dyDescent="0.25">
      <c r="A331" s="3">
        <v>44374</v>
      </c>
      <c r="B331" s="2" t="s">
        <v>7</v>
      </c>
      <c r="C331" s="2" t="s">
        <v>13</v>
      </c>
      <c r="D331" s="4">
        <v>5400</v>
      </c>
    </row>
    <row r="332" spans="1:4" x14ac:dyDescent="0.25">
      <c r="A332" s="3">
        <v>44376</v>
      </c>
      <c r="B332" s="2" t="s">
        <v>5</v>
      </c>
      <c r="C332" s="2" t="s">
        <v>12</v>
      </c>
      <c r="D332" s="4">
        <v>8000</v>
      </c>
    </row>
    <row r="333" spans="1:4" x14ac:dyDescent="0.25">
      <c r="A333" s="3">
        <v>44376</v>
      </c>
      <c r="B333" s="2" t="s">
        <v>6</v>
      </c>
      <c r="C333" s="2" t="s">
        <v>10</v>
      </c>
      <c r="D333" s="4">
        <v>600</v>
      </c>
    </row>
    <row r="334" spans="1:4" x14ac:dyDescent="0.25">
      <c r="A334" s="3">
        <v>44377</v>
      </c>
      <c r="B334" s="2" t="s">
        <v>3</v>
      </c>
      <c r="C334" s="2" t="s">
        <v>13</v>
      </c>
      <c r="D334" s="4">
        <v>5400</v>
      </c>
    </row>
    <row r="335" spans="1:4" x14ac:dyDescent="0.25">
      <c r="A335" s="3">
        <v>44378</v>
      </c>
      <c r="B335" s="2" t="s">
        <v>3</v>
      </c>
      <c r="C335" s="2" t="s">
        <v>15</v>
      </c>
      <c r="D335" s="4">
        <v>1200</v>
      </c>
    </row>
    <row r="336" spans="1:4" x14ac:dyDescent="0.25">
      <c r="A336" s="3">
        <v>44379</v>
      </c>
      <c r="B336" s="2" t="s">
        <v>5</v>
      </c>
      <c r="C336" s="2" t="s">
        <v>13</v>
      </c>
      <c r="D336" s="4">
        <v>5400</v>
      </c>
    </row>
    <row r="337" spans="1:4" x14ac:dyDescent="0.25">
      <c r="A337" s="3">
        <v>44380</v>
      </c>
      <c r="B337" s="2" t="s">
        <v>7</v>
      </c>
      <c r="C337" s="2" t="s">
        <v>10</v>
      </c>
      <c r="D337" s="4">
        <v>600</v>
      </c>
    </row>
    <row r="338" spans="1:4" x14ac:dyDescent="0.25">
      <c r="A338" s="3">
        <v>44381</v>
      </c>
      <c r="B338" s="2" t="s">
        <v>4</v>
      </c>
      <c r="C338" s="2" t="s">
        <v>13</v>
      </c>
      <c r="D338" s="4">
        <v>5400</v>
      </c>
    </row>
    <row r="339" spans="1:4" x14ac:dyDescent="0.25">
      <c r="A339" s="3">
        <v>44383</v>
      </c>
      <c r="B339" s="2" t="s">
        <v>6</v>
      </c>
      <c r="C339" s="2" t="s">
        <v>12</v>
      </c>
      <c r="D339" s="4">
        <v>8000</v>
      </c>
    </row>
    <row r="340" spans="1:4" x14ac:dyDescent="0.25">
      <c r="A340" s="3">
        <v>44383</v>
      </c>
      <c r="B340" s="2" t="s">
        <v>8</v>
      </c>
      <c r="C340" s="2" t="s">
        <v>13</v>
      </c>
      <c r="D340" s="4">
        <v>5400</v>
      </c>
    </row>
    <row r="341" spans="1:4" x14ac:dyDescent="0.25">
      <c r="A341" s="3">
        <v>44383</v>
      </c>
      <c r="B341" s="2" t="s">
        <v>4</v>
      </c>
      <c r="C341" s="2" t="s">
        <v>14</v>
      </c>
      <c r="D341" s="4">
        <v>3200</v>
      </c>
    </row>
    <row r="342" spans="1:4" x14ac:dyDescent="0.25">
      <c r="A342" s="3">
        <v>44383</v>
      </c>
      <c r="B342" s="2" t="s">
        <v>4</v>
      </c>
      <c r="C342" s="2" t="s">
        <v>13</v>
      </c>
      <c r="D342" s="4">
        <v>5400</v>
      </c>
    </row>
    <row r="343" spans="1:4" x14ac:dyDescent="0.25">
      <c r="A343" s="3">
        <v>44384</v>
      </c>
      <c r="B343" s="2" t="s">
        <v>4</v>
      </c>
      <c r="C343" s="2" t="s">
        <v>13</v>
      </c>
      <c r="D343" s="4">
        <v>5400</v>
      </c>
    </row>
    <row r="344" spans="1:4" x14ac:dyDescent="0.25">
      <c r="A344" s="3">
        <v>44384</v>
      </c>
      <c r="B344" s="2" t="s">
        <v>7</v>
      </c>
      <c r="C344" s="2" t="s">
        <v>13</v>
      </c>
      <c r="D344" s="4">
        <v>5400</v>
      </c>
    </row>
    <row r="345" spans="1:4" x14ac:dyDescent="0.25">
      <c r="A345" s="3">
        <v>44384</v>
      </c>
      <c r="B345" s="2" t="s">
        <v>3</v>
      </c>
      <c r="C345" s="2" t="s">
        <v>13</v>
      </c>
      <c r="D345" s="4">
        <v>5400</v>
      </c>
    </row>
    <row r="346" spans="1:4" x14ac:dyDescent="0.25">
      <c r="A346" s="3">
        <v>44384</v>
      </c>
      <c r="B346" s="2" t="s">
        <v>5</v>
      </c>
      <c r="C346" s="2" t="s">
        <v>11</v>
      </c>
      <c r="D346" s="4">
        <v>2500</v>
      </c>
    </row>
    <row r="347" spans="1:4" x14ac:dyDescent="0.25">
      <c r="A347" s="3">
        <v>44384</v>
      </c>
      <c r="B347" s="2" t="s">
        <v>5</v>
      </c>
      <c r="C347" s="2" t="s">
        <v>12</v>
      </c>
      <c r="D347" s="4">
        <v>8000</v>
      </c>
    </row>
    <row r="348" spans="1:4" x14ac:dyDescent="0.25">
      <c r="A348" s="3">
        <v>44386</v>
      </c>
      <c r="B348" s="2" t="s">
        <v>4</v>
      </c>
      <c r="C348" s="2" t="s">
        <v>13</v>
      </c>
      <c r="D348" s="4">
        <v>5400</v>
      </c>
    </row>
    <row r="349" spans="1:4" x14ac:dyDescent="0.25">
      <c r="A349" s="3">
        <v>44386</v>
      </c>
      <c r="B349" s="2" t="s">
        <v>5</v>
      </c>
      <c r="C349" s="2" t="s">
        <v>13</v>
      </c>
      <c r="D349" s="4">
        <v>5400</v>
      </c>
    </row>
    <row r="350" spans="1:4" x14ac:dyDescent="0.25">
      <c r="A350" s="3">
        <v>44386</v>
      </c>
      <c r="B350" s="2" t="s">
        <v>3</v>
      </c>
      <c r="C350" s="2" t="s">
        <v>13</v>
      </c>
      <c r="D350" s="4">
        <v>5400</v>
      </c>
    </row>
    <row r="351" spans="1:4" x14ac:dyDescent="0.25">
      <c r="A351" s="3">
        <v>44386</v>
      </c>
      <c r="B351" s="2" t="s">
        <v>3</v>
      </c>
      <c r="C351" s="2" t="s">
        <v>12</v>
      </c>
      <c r="D351" s="4">
        <v>8000</v>
      </c>
    </row>
    <row r="352" spans="1:4" x14ac:dyDescent="0.25">
      <c r="A352" s="3">
        <v>44387</v>
      </c>
      <c r="B352" s="2" t="s">
        <v>3</v>
      </c>
      <c r="C352" s="2" t="s">
        <v>13</v>
      </c>
      <c r="D352" s="4">
        <v>5400</v>
      </c>
    </row>
    <row r="353" spans="1:4" x14ac:dyDescent="0.25">
      <c r="A353" s="3">
        <v>44387</v>
      </c>
      <c r="B353" s="2" t="s">
        <v>3</v>
      </c>
      <c r="C353" s="2" t="s">
        <v>11</v>
      </c>
      <c r="D353" s="4">
        <v>2500</v>
      </c>
    </row>
    <row r="354" spans="1:4" x14ac:dyDescent="0.25">
      <c r="A354" s="3">
        <v>44388</v>
      </c>
      <c r="B354" s="2" t="s">
        <v>8</v>
      </c>
      <c r="C354" s="2" t="s">
        <v>11</v>
      </c>
      <c r="D354" s="4">
        <v>2500</v>
      </c>
    </row>
    <row r="355" spans="1:4" x14ac:dyDescent="0.25">
      <c r="A355" s="3">
        <v>44389</v>
      </c>
      <c r="B355" s="2" t="s">
        <v>6</v>
      </c>
      <c r="C355" s="2" t="s">
        <v>10</v>
      </c>
      <c r="D355" s="4">
        <v>600</v>
      </c>
    </row>
    <row r="356" spans="1:4" x14ac:dyDescent="0.25">
      <c r="A356" s="3">
        <v>44389</v>
      </c>
      <c r="B356" s="2" t="s">
        <v>5</v>
      </c>
      <c r="C356" s="2" t="s">
        <v>14</v>
      </c>
      <c r="D356" s="4">
        <v>3200</v>
      </c>
    </row>
    <row r="357" spans="1:4" x14ac:dyDescent="0.25">
      <c r="A357" s="3">
        <v>44390</v>
      </c>
      <c r="B357" s="2" t="s">
        <v>4</v>
      </c>
      <c r="C357" s="2" t="s">
        <v>14</v>
      </c>
      <c r="D357" s="4">
        <v>3200</v>
      </c>
    </row>
    <row r="358" spans="1:4" x14ac:dyDescent="0.25">
      <c r="A358" s="3">
        <v>44390</v>
      </c>
      <c r="B358" s="2" t="s">
        <v>7</v>
      </c>
      <c r="C358" s="2" t="s">
        <v>13</v>
      </c>
      <c r="D358" s="4">
        <v>5400</v>
      </c>
    </row>
    <row r="359" spans="1:4" x14ac:dyDescent="0.25">
      <c r="A359" s="3">
        <v>44391</v>
      </c>
      <c r="B359" s="2" t="s">
        <v>5</v>
      </c>
      <c r="C359" s="2" t="s">
        <v>13</v>
      </c>
      <c r="D359" s="4">
        <v>5400</v>
      </c>
    </row>
    <row r="360" spans="1:4" x14ac:dyDescent="0.25">
      <c r="A360" s="3">
        <v>44391</v>
      </c>
      <c r="B360" s="2" t="s">
        <v>3</v>
      </c>
      <c r="C360" s="2" t="s">
        <v>13</v>
      </c>
      <c r="D360" s="4">
        <v>5400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FBFE5-E253-47B1-A814-85ACAD721BA1}">
  <dimension ref="A2:I24"/>
  <sheetViews>
    <sheetView tabSelected="1" workbookViewId="0">
      <selection activeCell="J9" sqref="J9"/>
    </sheetView>
  </sheetViews>
  <sheetFormatPr defaultRowHeight="15" x14ac:dyDescent="0.25"/>
  <cols>
    <col min="1" max="1" width="14.140625" bestFit="1" customWidth="1"/>
    <col min="2" max="2" width="22.42578125" bestFit="1" customWidth="1"/>
    <col min="3" max="3" width="10.140625" bestFit="1" customWidth="1"/>
    <col min="4" max="4" width="16.28515625" bestFit="1" customWidth="1"/>
    <col min="5" max="5" width="20.5703125" bestFit="1" customWidth="1"/>
    <col min="7" max="7" width="9.140625" bestFit="1" customWidth="1"/>
    <col min="8" max="8" width="20.5703125" bestFit="1" customWidth="1"/>
    <col min="9" max="9" width="18.140625" hidden="1" customWidth="1"/>
    <col min="10" max="10" width="26.5703125" bestFit="1" customWidth="1"/>
  </cols>
  <sheetData>
    <row r="2" spans="1:9" x14ac:dyDescent="0.25">
      <c r="A2" t="s">
        <v>23</v>
      </c>
      <c r="D2" t="s">
        <v>24</v>
      </c>
      <c r="G2" t="s">
        <v>25</v>
      </c>
    </row>
    <row r="3" spans="1:9" x14ac:dyDescent="0.25">
      <c r="A3" s="6" t="s">
        <v>0</v>
      </c>
      <c r="B3" t="s">
        <v>26</v>
      </c>
      <c r="D3" s="6" t="s">
        <v>2</v>
      </c>
      <c r="E3" t="s">
        <v>26</v>
      </c>
      <c r="G3" s="6" t="s">
        <v>35</v>
      </c>
      <c r="H3" t="s">
        <v>26</v>
      </c>
      <c r="I3" t="s">
        <v>32</v>
      </c>
    </row>
    <row r="4" spans="1:9" x14ac:dyDescent="0.25">
      <c r="A4" s="2" t="s">
        <v>3</v>
      </c>
      <c r="B4" s="7">
        <v>257200</v>
      </c>
      <c r="D4" s="2" t="s">
        <v>10</v>
      </c>
      <c r="E4" s="7">
        <v>30600</v>
      </c>
      <c r="G4" s="2" t="s">
        <v>16</v>
      </c>
      <c r="H4" s="7">
        <v>216400</v>
      </c>
      <c r="I4" s="7">
        <v>216400</v>
      </c>
    </row>
    <row r="5" spans="1:9" x14ac:dyDescent="0.25">
      <c r="A5" s="2" t="s">
        <v>7</v>
      </c>
      <c r="B5" s="7">
        <v>224000</v>
      </c>
      <c r="D5" s="2" t="s">
        <v>15</v>
      </c>
      <c r="E5" s="7">
        <v>70800</v>
      </c>
      <c r="G5" s="2" t="s">
        <v>17</v>
      </c>
      <c r="H5" s="7">
        <v>198800</v>
      </c>
      <c r="I5" s="7">
        <v>198800</v>
      </c>
    </row>
    <row r="6" spans="1:9" x14ac:dyDescent="0.25">
      <c r="A6" s="2" t="s">
        <v>6</v>
      </c>
      <c r="B6" s="7">
        <v>208700</v>
      </c>
      <c r="D6" s="2" t="s">
        <v>14</v>
      </c>
      <c r="E6" s="7">
        <v>134400</v>
      </c>
      <c r="G6" s="2" t="s">
        <v>18</v>
      </c>
      <c r="H6" s="7">
        <v>211300</v>
      </c>
      <c r="I6" s="7">
        <v>211300</v>
      </c>
    </row>
    <row r="7" spans="1:9" x14ac:dyDescent="0.25">
      <c r="A7" s="2" t="s">
        <v>5</v>
      </c>
      <c r="B7" s="7">
        <v>273800</v>
      </c>
      <c r="D7" s="2" t="s">
        <v>11</v>
      </c>
      <c r="E7" s="7">
        <v>136800</v>
      </c>
      <c r="G7" s="2" t="s">
        <v>19</v>
      </c>
      <c r="H7" s="7">
        <v>179900</v>
      </c>
      <c r="I7" s="7">
        <v>179900</v>
      </c>
    </row>
    <row r="8" spans="1:9" x14ac:dyDescent="0.25">
      <c r="A8" s="2" t="s">
        <v>4</v>
      </c>
      <c r="B8" s="7">
        <v>180400</v>
      </c>
      <c r="D8" s="2" t="s">
        <v>12</v>
      </c>
      <c r="E8" s="7">
        <v>352000</v>
      </c>
      <c r="G8" s="2" t="s">
        <v>20</v>
      </c>
      <c r="H8" s="7">
        <v>212700</v>
      </c>
      <c r="I8" s="7">
        <v>212700</v>
      </c>
    </row>
    <row r="9" spans="1:9" x14ac:dyDescent="0.25">
      <c r="A9" s="2" t="s">
        <v>8</v>
      </c>
      <c r="B9" s="7">
        <v>158300</v>
      </c>
      <c r="C9" s="7"/>
      <c r="D9" s="2" t="s">
        <v>13</v>
      </c>
      <c r="E9" s="7">
        <v>577800</v>
      </c>
      <c r="G9" s="2" t="s">
        <v>21</v>
      </c>
      <c r="H9" s="7">
        <v>164200</v>
      </c>
      <c r="I9" s="7">
        <v>164200</v>
      </c>
    </row>
    <row r="10" spans="1:9" x14ac:dyDescent="0.25">
      <c r="G10" s="2" t="s">
        <v>22</v>
      </c>
      <c r="H10" s="7">
        <v>119100</v>
      </c>
      <c r="I10" s="7">
        <v>119100</v>
      </c>
    </row>
    <row r="11" spans="1:9" x14ac:dyDescent="0.25">
      <c r="A11" s="2"/>
      <c r="D11" s="2"/>
    </row>
    <row r="12" spans="1:9" s="8" customFormat="1" x14ac:dyDescent="0.25"/>
    <row r="14" spans="1:9" x14ac:dyDescent="0.25">
      <c r="A14" t="s">
        <v>38</v>
      </c>
      <c r="D14" t="s">
        <v>39</v>
      </c>
      <c r="G14" t="s">
        <v>40</v>
      </c>
    </row>
    <row r="15" spans="1:9" x14ac:dyDescent="0.25">
      <c r="A15" s="6" t="s">
        <v>0</v>
      </c>
      <c r="B15" t="s">
        <v>36</v>
      </c>
      <c r="D15" s="6" t="s">
        <v>2</v>
      </c>
      <c r="E15" t="s">
        <v>37</v>
      </c>
      <c r="G15" s="6" t="s">
        <v>35</v>
      </c>
      <c r="H15" t="s">
        <v>36</v>
      </c>
      <c r="I15" t="s">
        <v>33</v>
      </c>
    </row>
    <row r="16" spans="1:9" x14ac:dyDescent="0.25">
      <c r="A16" s="2" t="s">
        <v>3</v>
      </c>
      <c r="B16" s="16">
        <v>73</v>
      </c>
      <c r="D16" s="2" t="s">
        <v>15</v>
      </c>
      <c r="E16" s="16">
        <v>59</v>
      </c>
      <c r="G16" s="2" t="s">
        <v>16</v>
      </c>
      <c r="H16" s="16">
        <v>52</v>
      </c>
      <c r="I16" s="16">
        <v>52</v>
      </c>
    </row>
    <row r="17" spans="1:9" x14ac:dyDescent="0.25">
      <c r="A17" s="2" t="s">
        <v>7</v>
      </c>
      <c r="B17" s="16">
        <v>66</v>
      </c>
      <c r="D17" s="2" t="s">
        <v>11</v>
      </c>
      <c r="E17" s="16">
        <v>56</v>
      </c>
      <c r="G17" s="2" t="s">
        <v>17</v>
      </c>
      <c r="H17" s="16">
        <v>51</v>
      </c>
      <c r="I17" s="16">
        <v>51</v>
      </c>
    </row>
    <row r="18" spans="1:9" x14ac:dyDescent="0.25">
      <c r="A18" s="2" t="s">
        <v>6</v>
      </c>
      <c r="B18" s="16">
        <v>61</v>
      </c>
      <c r="D18" s="2" t="s">
        <v>13</v>
      </c>
      <c r="E18" s="16">
        <v>107</v>
      </c>
      <c r="G18" s="2" t="s">
        <v>18</v>
      </c>
      <c r="H18" s="16">
        <v>63</v>
      </c>
      <c r="I18" s="16">
        <v>63</v>
      </c>
    </row>
    <row r="19" spans="1:9" x14ac:dyDescent="0.25">
      <c r="A19" s="2" t="s">
        <v>5</v>
      </c>
      <c r="B19" s="16">
        <v>59</v>
      </c>
      <c r="D19" s="2" t="s">
        <v>14</v>
      </c>
      <c r="E19" s="16">
        <v>42</v>
      </c>
      <c r="G19" s="2" t="s">
        <v>19</v>
      </c>
      <c r="H19" s="16">
        <v>53</v>
      </c>
      <c r="I19" s="16">
        <v>53</v>
      </c>
    </row>
    <row r="20" spans="1:9" x14ac:dyDescent="0.25">
      <c r="A20" s="2" t="s">
        <v>4</v>
      </c>
      <c r="B20" s="16">
        <v>59</v>
      </c>
      <c r="D20" s="2" t="s">
        <v>12</v>
      </c>
      <c r="E20" s="16">
        <v>44</v>
      </c>
      <c r="G20" s="2" t="s">
        <v>20</v>
      </c>
      <c r="H20" s="16">
        <v>60</v>
      </c>
      <c r="I20" s="16">
        <v>60</v>
      </c>
    </row>
    <row r="21" spans="1:9" x14ac:dyDescent="0.25">
      <c r="A21" s="2" t="s">
        <v>8</v>
      </c>
      <c r="B21" s="16">
        <v>41</v>
      </c>
      <c r="D21" s="2" t="s">
        <v>10</v>
      </c>
      <c r="E21" s="16">
        <v>51</v>
      </c>
      <c r="G21" s="2" t="s">
        <v>21</v>
      </c>
      <c r="H21" s="16">
        <v>54</v>
      </c>
      <c r="I21" s="16">
        <v>54</v>
      </c>
    </row>
    <row r="22" spans="1:9" x14ac:dyDescent="0.25">
      <c r="G22" s="2" t="s">
        <v>22</v>
      </c>
      <c r="H22" s="16">
        <v>26</v>
      </c>
      <c r="I22" s="16">
        <v>26</v>
      </c>
    </row>
    <row r="23" spans="1:9" x14ac:dyDescent="0.25">
      <c r="A23" s="2"/>
      <c r="D23" s="2"/>
    </row>
    <row r="24" spans="1:9" x14ac:dyDescent="0.25">
      <c r="G24" s="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F11E2-CA2D-480C-8BDC-338344DB4ADD}">
  <dimension ref="A1:R17"/>
  <sheetViews>
    <sheetView zoomScaleNormal="100" workbookViewId="0"/>
  </sheetViews>
  <sheetFormatPr defaultRowHeight="15" x14ac:dyDescent="0.25"/>
  <cols>
    <col min="1" max="1" width="14.85546875" style="9" customWidth="1"/>
    <col min="2" max="6" width="9.140625" style="9"/>
    <col min="7" max="7" width="9.140625" style="9" customWidth="1"/>
    <col min="8" max="8" width="9.140625" style="9"/>
    <col min="9" max="9" width="17.5703125" style="9" bestFit="1" customWidth="1"/>
    <col min="10" max="10" width="9.140625" style="9"/>
    <col min="11" max="11" width="17.5703125" style="9" bestFit="1" customWidth="1"/>
    <col min="12" max="12" width="2.85546875" style="9" customWidth="1"/>
    <col min="13" max="15" width="9.140625" style="9"/>
    <col min="16" max="16" width="5.28515625" style="9" customWidth="1"/>
    <col min="17" max="16384" width="9.140625" style="9"/>
  </cols>
  <sheetData>
    <row r="1" spans="1:18" ht="5.25" customHeight="1" x14ac:dyDescent="0.25"/>
    <row r="2" spans="1:18" x14ac:dyDescent="0.25">
      <c r="K2" s="11" t="s">
        <v>27</v>
      </c>
      <c r="N2" s="11" t="s">
        <v>28</v>
      </c>
      <c r="R2" s="11" t="s">
        <v>29</v>
      </c>
    </row>
    <row r="3" spans="1:18" ht="15.75" x14ac:dyDescent="0.25">
      <c r="B3" s="10"/>
      <c r="K3" s="14">
        <f>SUM(Tabelas_Dinamicas!H4:H10)</f>
        <v>1302400</v>
      </c>
      <c r="N3" s="13" t="str">
        <f>INDEX(Tabelas_Dinamicas!D16:D21,MATCH(MAX(Tabelas_Dinamicas!E16:E21),Tabelas_Dinamicas!E16:E21,0))</f>
        <v>Notebook Gamer</v>
      </c>
      <c r="R3" s="13" t="str">
        <f>_xlfn.XLOOKUP(MAX(Tabelas_Dinamicas!B4:B9),Tabelas_Dinamicas!B4:B9,Tabelas_Dinamicas!A4:A9)</f>
        <v>Pedro</v>
      </c>
    </row>
    <row r="4" spans="1:18" ht="2.25" customHeight="1" x14ac:dyDescent="0.25"/>
    <row r="5" spans="1:18" x14ac:dyDescent="0.25">
      <c r="A5" s="15" t="s">
        <v>30</v>
      </c>
      <c r="B5" s="15"/>
    </row>
    <row r="17" spans="1:2" x14ac:dyDescent="0.25">
      <c r="A17" s="15" t="s">
        <v>31</v>
      </c>
      <c r="B17" s="15"/>
    </row>
  </sheetData>
  <mergeCells count="2">
    <mergeCell ref="A5:B5"/>
    <mergeCell ref="A17:B1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C24B6-F443-4557-8E22-7D88F2193C86}">
  <dimension ref="A1:R32"/>
  <sheetViews>
    <sheetView zoomScaleNormal="100" workbookViewId="0">
      <selection activeCell="K8" sqref="K8"/>
    </sheetView>
  </sheetViews>
  <sheetFormatPr defaultRowHeight="15" x14ac:dyDescent="0.25"/>
  <cols>
    <col min="1" max="1" width="14.85546875" style="9" customWidth="1"/>
    <col min="2" max="6" width="9.140625" style="9"/>
    <col min="7" max="7" width="9.140625" style="9" customWidth="1"/>
    <col min="8" max="8" width="9.140625" style="9"/>
    <col min="9" max="9" width="17.5703125" style="9" bestFit="1" customWidth="1"/>
    <col min="10" max="10" width="9.140625" style="9"/>
    <col min="11" max="11" width="17.5703125" style="9" bestFit="1" customWidth="1"/>
    <col min="12" max="12" width="2.85546875" style="9" customWidth="1"/>
    <col min="13" max="15" width="9.140625" style="9"/>
    <col min="16" max="16" width="5.28515625" style="9" customWidth="1"/>
    <col min="17" max="16384" width="9.140625" style="9"/>
  </cols>
  <sheetData>
    <row r="1" spans="1:18" ht="5.25" customHeight="1" x14ac:dyDescent="0.25"/>
    <row r="2" spans="1:18" x14ac:dyDescent="0.25">
      <c r="K2" s="11" t="s">
        <v>34</v>
      </c>
      <c r="N2" s="11" t="s">
        <v>28</v>
      </c>
      <c r="R2" s="11" t="s">
        <v>29</v>
      </c>
    </row>
    <row r="3" spans="1:18" ht="15.75" x14ac:dyDescent="0.25">
      <c r="B3" s="10"/>
      <c r="K3" s="12">
        <f>SUM(Tabelas_Dinamicas!H16:H22)</f>
        <v>359</v>
      </c>
      <c r="N3" s="13" t="str">
        <f>INDEX(Tabelas_Dinamicas!D16:D21,MATCH(MAX(Tabelas_Dinamicas!E16:E21),Tabelas_Dinamicas!E16:E21,0))</f>
        <v>Notebook Gamer</v>
      </c>
      <c r="R3" s="13" t="str">
        <f>_xlfn.XLOOKUP(MAX(Tabelas_Dinamicas!B16:B21),Tabelas_Dinamicas!B16:B21,Tabelas_Dinamicas!A16:A21)</f>
        <v>Bruno</v>
      </c>
    </row>
    <row r="4" spans="1:18" ht="2.25" customHeight="1" x14ac:dyDescent="0.25"/>
    <row r="5" spans="1:18" x14ac:dyDescent="0.25">
      <c r="A5" s="15" t="s">
        <v>30</v>
      </c>
      <c r="B5" s="15"/>
    </row>
    <row r="17" spans="1:2" x14ac:dyDescent="0.25">
      <c r="A17" s="15" t="s">
        <v>31</v>
      </c>
      <c r="B17" s="15"/>
    </row>
    <row r="32" spans="1:2" x14ac:dyDescent="0.25">
      <c r="B32" s="17"/>
    </row>
  </sheetData>
  <mergeCells count="2">
    <mergeCell ref="A5:B5"/>
    <mergeCell ref="A17:B1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Base</vt:lpstr>
      <vt:lpstr>Tabelas_Dinamicas</vt:lpstr>
      <vt:lpstr>Dashboard_Faturamento</vt:lpstr>
      <vt:lpstr>Dashboard_Quantidade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Marcos Vinicius</cp:lastModifiedBy>
  <dcterms:created xsi:type="dcterms:W3CDTF">2020-08-14T17:34:07Z</dcterms:created>
  <dcterms:modified xsi:type="dcterms:W3CDTF">2026-02-14T17:02:21Z</dcterms:modified>
</cp:coreProperties>
</file>